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SA Tracker" sheetId="2" state="visible" r:id="rId4"/>
    <sheet name="Project Tracker" sheetId="3" state="visible" r:id="rId5"/>
    <sheet name="LLD Tracker" sheetId="4" state="visible" r:id="rId6"/>
    <sheet name="Core Subjects" sheetId="5" state="visible" r:id="rId7"/>
    <sheet name="Resume &amp; Behavioral" sheetId="6" state="visible" r:id="rId8"/>
    <sheet name="Daily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<sst xmlns="http://schemas.openxmlformats.org/spreadsheetml/2006/main" count="683" uniqueCount="310">
  <si>
    <t xml:space="preserve">Placement Prep Tracker — Keshav Mittal</t>
  </si>
  <si>
    <t xml:space="preserve">DTU IT | 3rd Year → 4th Year | Target: SWE @ Mid-size Product Companies</t>
  </si>
  <si>
    <t xml:space="preserve">Placement window:</t>
  </si>
  <si>
    <t xml:space="preserve">&lt; 1 month — every day counts. Track daily, not weekly.</t>
  </si>
  <si>
    <t xml:space="preserve">AREA</t>
  </si>
  <si>
    <t xml:space="preserve">DONE</t>
  </si>
  <si>
    <t xml:space="preserve">TOTAL</t>
  </si>
  <si>
    <t xml:space="preserve">% COMPLETE</t>
  </si>
  <si>
    <t xml:space="preserve">PRIORITY</t>
  </si>
  <si>
    <t xml:space="preserve">STATUS</t>
  </si>
  <si>
    <t xml:space="preserve">DSA (Blind 75)</t>
  </si>
  <si>
    <t xml:space="preserve">P1 — Highest</t>
  </si>
  <si>
    <t xml:space="preserve">Project (GymKhanna)</t>
  </si>
  <si>
    <t xml:space="preserve">P1 — Finish, don't expand</t>
  </si>
  <si>
    <t xml:space="preserve">SQL Practice</t>
  </si>
  <si>
    <t xml:space="preserve">P1 — New &amp; cheap</t>
  </si>
  <si>
    <t xml:space="preserve">LLD Patterns</t>
  </si>
  <si>
    <t xml:space="preserve">P2 — Pattern only</t>
  </si>
  <si>
    <t xml:space="preserve">Core Subjects Revision</t>
  </si>
  <si>
    <t xml:space="preserve">P3 — Revise, don't relearn</t>
  </si>
  <si>
    <t xml:space="preserve">Resume &amp; Behavioral</t>
  </si>
  <si>
    <t xml:space="preserve">P2 — Do early</t>
  </si>
  <si>
    <t xml:space="preserve">OVERALL COMPLETION</t>
  </si>
  <si>
    <t xml:space="preserve">3-WEEK SEQUENCE</t>
  </si>
  <si>
    <t xml:space="preserve">Week 1</t>
  </si>
  <si>
    <t xml:space="preserve">Pick Blind 75, start daily solving. Finish GymKhanna's remaining 40%. Start SQL (1-2 hrs/day).</t>
  </si>
  <si>
    <t xml:space="preserve">Week 2</t>
  </si>
  <si>
    <t xml:space="preserve">Continue Blind 75 + pull thin topics from LC150. Polish GymKhanna, prep to explain every decision. Skim 5 LLD problems. Write behavioral stories.</t>
  </si>
  <si>
    <t xml:space="preserve">Week 3</t>
  </si>
  <si>
    <t xml:space="preserve">Mock interviews, timed DSA practice. Resume deep-dive prep. Light revision: OOP/OS/CN/DBMS — explain-aloud level only.</t>
  </si>
  <si>
    <t xml:space="preserve">Note: OS/CN are revision-only this cycle — don't go deep, redirect that time to SQL + LLD pattern recognition + resume defense.</t>
  </si>
  <si>
    <t xml:space="preserve">DSA Tracker — Blind 75</t>
  </si>
  <si>
    <t xml:space="preserve">Since CP-style topics (graphs, DP, segment trees, monotonic deques) are already strong, this list is mostly coverage-check + speed. Mark gaps and pull matching topics from LC150 if needed.</t>
  </si>
  <si>
    <t xml:space="preserve">#</t>
  </si>
  <si>
    <t xml:space="preserve">Problem / Topic</t>
  </si>
  <si>
    <t xml:space="preserve">Pattern</t>
  </si>
  <si>
    <t xml:space="preserve">Difficulty</t>
  </si>
  <si>
    <t xml:space="preserve">Status</t>
  </si>
  <si>
    <t xml:space="preserve">Notes / Gap?</t>
  </si>
  <si>
    <t xml:space="preserve">Two Sum</t>
  </si>
  <si>
    <t xml:space="preserve">Array / Hashing</t>
  </si>
  <si>
    <t xml:space="preserve">Easy</t>
  </si>
  <si>
    <t xml:space="preserve">To Do</t>
  </si>
  <si>
    <t xml:space="preserve">Contains Duplicate</t>
  </si>
  <si>
    <t xml:space="preserve">Product of Array Except Self</t>
  </si>
  <si>
    <t xml:space="preserve">Medium</t>
  </si>
  <si>
    <t xml:space="preserve">Maximum Subarray (Kadane's)</t>
  </si>
  <si>
    <t xml:space="preserve">Maximum Product Subarray</t>
  </si>
  <si>
    <t xml:space="preserve">Find Minimum in Rotated Sorted Array</t>
  </si>
  <si>
    <t xml:space="preserve">Binary Search</t>
  </si>
  <si>
    <t xml:space="preserve">Search in Rotated Sorted Array</t>
  </si>
  <si>
    <t xml:space="preserve">3Sum</t>
  </si>
  <si>
    <t xml:space="preserve">Array / Two Pointers</t>
  </si>
  <si>
    <t xml:space="preserve">Container With Most Water</t>
  </si>
  <si>
    <t xml:space="preserve">Two Pointers</t>
  </si>
  <si>
    <t xml:space="preserve">Sum of Two Integers (bit trick)</t>
  </si>
  <si>
    <t xml:space="preserve">Bit Manipulation</t>
  </si>
  <si>
    <t xml:space="preserve">Number of 1 Bits</t>
  </si>
  <si>
    <t xml:space="preserve">Counting Bits</t>
  </si>
  <si>
    <t xml:space="preserve">Missing Number</t>
  </si>
  <si>
    <t xml:space="preserve">Reverse Bits</t>
  </si>
  <si>
    <t xml:space="preserve">Climbing Stairs</t>
  </si>
  <si>
    <t xml:space="preserve">Dynamic Programming</t>
  </si>
  <si>
    <t xml:space="preserve">Coin Change</t>
  </si>
  <si>
    <t xml:space="preserve">Longest Increasing Subsequence</t>
  </si>
  <si>
    <t xml:space="preserve">Longest Common Subsequence</t>
  </si>
  <si>
    <t xml:space="preserve">Word Break</t>
  </si>
  <si>
    <t xml:space="preserve">Combination Sum IV</t>
  </si>
  <si>
    <t xml:space="preserve">House Robber</t>
  </si>
  <si>
    <t xml:space="preserve">House Robber II</t>
  </si>
  <si>
    <t xml:space="preserve">Decode Ways</t>
  </si>
  <si>
    <t xml:space="preserve">Unique Paths</t>
  </si>
  <si>
    <t xml:space="preserve">Jump Game</t>
  </si>
  <si>
    <t xml:space="preserve">Dynamic Programming / Greedy</t>
  </si>
  <si>
    <t xml:space="preserve">Clone Graph</t>
  </si>
  <si>
    <t xml:space="preserve">Graph</t>
  </si>
  <si>
    <t xml:space="preserve">Course Schedule</t>
  </si>
  <si>
    <t xml:space="preserve">Graph (Topo Sort)</t>
  </si>
  <si>
    <t xml:space="preserve">Pacific Atlantic Water Flow</t>
  </si>
  <si>
    <t xml:space="preserve">Graph (DFS/BFS)</t>
  </si>
  <si>
    <t xml:space="preserve">Number of Islands</t>
  </si>
  <si>
    <t xml:space="preserve">Longest Consecutive Sequence</t>
  </si>
  <si>
    <t xml:space="preserve">Graph / Union-Find</t>
  </si>
  <si>
    <t xml:space="preserve">Alien Dictionary</t>
  </si>
  <si>
    <t xml:space="preserve">Hard</t>
  </si>
  <si>
    <t xml:space="preserve">Graph Valid Tree</t>
  </si>
  <si>
    <t xml:space="preserve">Number of Connected Components</t>
  </si>
  <si>
    <t xml:space="preserve">Insert Interval</t>
  </si>
  <si>
    <t xml:space="preserve">Intervals</t>
  </si>
  <si>
    <t xml:space="preserve">Merge Intervals</t>
  </si>
  <si>
    <t xml:space="preserve">Non-overlapping Intervals</t>
  </si>
  <si>
    <t xml:space="preserve">Meeting Rooms</t>
  </si>
  <si>
    <t xml:space="preserve">Meeting Rooms II</t>
  </si>
  <si>
    <t xml:space="preserve">Reverse a Linked List</t>
  </si>
  <si>
    <t xml:space="preserve">Linked List</t>
  </si>
  <si>
    <t xml:space="preserve">Detect Cycle in Linked List</t>
  </si>
  <si>
    <t xml:space="preserve">Merge Two Sorted Lists</t>
  </si>
  <si>
    <t xml:space="preserve">Merge K Sorted Lists</t>
  </si>
  <si>
    <t xml:space="preserve">Linked List / Heap</t>
  </si>
  <si>
    <t xml:space="preserve">Remove Nth Node From End of List</t>
  </si>
  <si>
    <t xml:space="preserve">Reorder List</t>
  </si>
  <si>
    <t xml:space="preserve">Set Matrix Zeroes</t>
  </si>
  <si>
    <t xml:space="preserve">Matrix</t>
  </si>
  <si>
    <t xml:space="preserve">Spiral Matrix</t>
  </si>
  <si>
    <t xml:space="preserve">Rotate Image</t>
  </si>
  <si>
    <t xml:space="preserve">Word Search</t>
  </si>
  <si>
    <t xml:space="preserve">Matrix / Backtracking</t>
  </si>
  <si>
    <t xml:space="preserve">Longest Substring Without Repeating Characters</t>
  </si>
  <si>
    <t xml:space="preserve">String</t>
  </si>
  <si>
    <t xml:space="preserve">Longest Repeating Character Replacement</t>
  </si>
  <si>
    <t xml:space="preserve">String / Sliding Window</t>
  </si>
  <si>
    <t xml:space="preserve">Minimum Window Substring</t>
  </si>
  <si>
    <t xml:space="preserve">Valid Anagram</t>
  </si>
  <si>
    <t xml:space="preserve">Group Anagrams</t>
  </si>
  <si>
    <t xml:space="preserve">String / Hashing</t>
  </si>
  <si>
    <t xml:space="preserve">Valid Parentheses</t>
  </si>
  <si>
    <t xml:space="preserve">Stack</t>
  </si>
  <si>
    <t xml:space="preserve">Valid Palindrome</t>
  </si>
  <si>
    <t xml:space="preserve">String / Two Pointers</t>
  </si>
  <si>
    <t xml:space="preserve">Longest Palindromic Substring</t>
  </si>
  <si>
    <t xml:space="preserve">String / DP</t>
  </si>
  <si>
    <t xml:space="preserve">Palindromic Substrings</t>
  </si>
  <si>
    <t xml:space="preserve">Encode and Decode Strings</t>
  </si>
  <si>
    <t xml:space="preserve">Maximum Depth of Binary Tree</t>
  </si>
  <si>
    <t xml:space="preserve">Tree</t>
  </si>
  <si>
    <t xml:space="preserve">Same Tree</t>
  </si>
  <si>
    <t xml:space="preserve">Invert/Flip Binary Tree</t>
  </si>
  <si>
    <t xml:space="preserve">Binary Tree Maximum Path Sum</t>
  </si>
  <si>
    <t xml:space="preserve">Binary Tree Level Order Traversal</t>
  </si>
  <si>
    <t xml:space="preserve">Tree / BFS</t>
  </si>
  <si>
    <t xml:space="preserve">Serialize and Deserialize Binary Tree</t>
  </si>
  <si>
    <t xml:space="preserve">Subtree of Another Tree</t>
  </si>
  <si>
    <t xml:space="preserve">Construct Binary Tree from Preorder/Inorder</t>
  </si>
  <si>
    <t xml:space="preserve">Validate Binary Search Tree</t>
  </si>
  <si>
    <t xml:space="preserve">Tree (BST)</t>
  </si>
  <si>
    <t xml:space="preserve">Kth Smallest Element in a BST</t>
  </si>
  <si>
    <t xml:space="preserve">Lowest Common Ancestor of BST</t>
  </si>
  <si>
    <t xml:space="preserve">Implement Trie (Prefix Tree)</t>
  </si>
  <si>
    <t xml:space="preserve">Trie</t>
  </si>
  <si>
    <t xml:space="preserve">Add and Search Word</t>
  </si>
  <si>
    <t xml:space="preserve">Word Search II</t>
  </si>
  <si>
    <t xml:space="preserve">Trie / Backtracking</t>
  </si>
  <si>
    <t xml:space="preserve">Top K Frequent Elements</t>
  </si>
  <si>
    <t xml:space="preserve">Heap</t>
  </si>
  <si>
    <t xml:space="preserve">Find Median from Data Stream</t>
  </si>
  <si>
    <t xml:space="preserve">Combination Sum</t>
  </si>
  <si>
    <t xml:space="preserve">Backtracking</t>
  </si>
  <si>
    <t xml:space="preserve">Permutations</t>
  </si>
  <si>
    <t xml:space="preserve">Subsets</t>
  </si>
  <si>
    <t xml:space="preserve">Total problems:</t>
  </si>
  <si>
    <t xml:space="preserve">Done:</t>
  </si>
  <si>
    <t xml:space="preserve">% Complete:</t>
  </si>
  <si>
    <t xml:space="preserve">Project Tracker — GymKhanna (MERN Fitness Tracker)</t>
  </si>
  <si>
    <t xml:space="preserve">Currently ~60% done. Goal: finish core features only this week — no scope creep. Be ready to explain every decision.</t>
  </si>
  <si>
    <t xml:space="preserve">Feature / Task</t>
  </si>
  <si>
    <t xml:space="preserve">Layer</t>
  </si>
  <si>
    <t xml:space="preserve">Why it matters in interview</t>
  </si>
  <si>
    <t xml:space="preserve">Notes</t>
  </si>
  <si>
    <t xml:space="preserve">Workout logging — CRUD</t>
  </si>
  <si>
    <t xml:space="preserve">Backend (API)</t>
  </si>
  <si>
    <t xml:space="preserve">Core feature; expect 'walk me through this flow' question</t>
  </si>
  <si>
    <t xml:space="preserve">Workout logging — UI</t>
  </si>
  <si>
    <t xml:space="preserve">Frontend</t>
  </si>
  <si>
    <t xml:space="preserve">Demonstrates React state/forms handling</t>
  </si>
  <si>
    <t xml:space="preserve">Progressive overload calc logic</t>
  </si>
  <si>
    <t xml:space="preserve">Backend (Logic)</t>
  </si>
  <si>
    <t xml:space="preserve">Good 'explain your algorithm/logic' talking point</t>
  </si>
  <si>
    <t xml:space="preserve">PR (personal record) detection</t>
  </si>
  <si>
    <t xml:space="preserve">Shows you can design business logic, not just CRUD</t>
  </si>
  <si>
    <t xml:space="preserve">Streak tracking</t>
  </si>
  <si>
    <t xml:space="preserve">Date/time edge cases — good debugging story</t>
  </si>
  <si>
    <t xml:space="preserve">Weight tracking</t>
  </si>
  <si>
    <t xml:space="preserve">Full stack</t>
  </si>
  <si>
    <t xml:space="preserve">Simple CRUD — confirm it's fully working</t>
  </si>
  <si>
    <t xml:space="preserve">Water intake tracking</t>
  </si>
  <si>
    <t xml:space="preserve">MongoDB schema design</t>
  </si>
  <si>
    <t xml:space="preserve">Database</t>
  </si>
  <si>
    <t xml:space="preserve">Be ready to explain why this schema, relations/embedding choice</t>
  </si>
  <si>
    <t xml:space="preserve">Auth (login/signup)</t>
  </si>
  <si>
    <t xml:space="preserve">Backend (Security)</t>
  </si>
  <si>
    <t xml:space="preserve">Common interview Q: how is auth handled, JWT vs sessions</t>
  </si>
  <si>
    <t xml:space="preserve">Input validation</t>
  </si>
  <si>
    <t xml:space="preserve">Backend</t>
  </si>
  <si>
    <t xml:space="preserve">Shows attention to robustness, not just happy path</t>
  </si>
  <si>
    <t xml:space="preserve">Error handling middleware</t>
  </si>
  <si>
    <t xml:space="preserve">Shows maturity beyond a tutorial-level app</t>
  </si>
  <si>
    <t xml:space="preserve">Responsive UI pass</t>
  </si>
  <si>
    <t xml:space="preserve">Polish — don't over-invest, but should look presentable</t>
  </si>
  <si>
    <t xml:space="preserve">Deploy (e.g. Render/Vercel)</t>
  </si>
  <si>
    <t xml:space="preserve">DevOps</t>
  </si>
  <si>
    <t xml:space="preserve">Live link &gt; localhost screenshot in interviews</t>
  </si>
  <si>
    <t xml:space="preserve">README with setup + architecture</t>
  </si>
  <si>
    <t xml:space="preserve">Docs</t>
  </si>
  <si>
    <t xml:space="preserve">Interviewers do check this — keep it clean</t>
  </si>
  <si>
    <t xml:space="preserve">Daily GitHub commit habit</t>
  </si>
  <si>
    <t xml:space="preserve">Process</t>
  </si>
  <si>
    <t xml:space="preserve">Shows consistency — keep streak alive through prep</t>
  </si>
  <si>
    <t xml:space="preserve">Mock 'explain this project' run-through</t>
  </si>
  <si>
    <t xml:space="preserve">Interview Prep</t>
  </si>
  <si>
    <t xml:space="preserve">Practice explaining out loud, not just building</t>
  </si>
  <si>
    <t xml:space="preserve">Identify 1-2 'what would you improve at scale' answers</t>
  </si>
  <si>
    <t xml:space="preserve">Very commonly asked follow-up</t>
  </si>
  <si>
    <t xml:space="preserve">LLD Tracker — Pattern Recognition Only</t>
  </si>
  <si>
    <t xml:space="preserve">Goal is NOT mastery (no time for that). Goal is: recognize the shape of the question, talk through classes/relationships, cite a relevant OOP principle.</t>
  </si>
  <si>
    <t xml:space="preserve">Problem</t>
  </si>
  <si>
    <t xml:space="preserve">Core OOP Concept Tested</t>
  </si>
  <si>
    <t xml:space="preserve">Time-box</t>
  </si>
  <si>
    <t xml:space="preserve">Design a Parking Lot</t>
  </si>
  <si>
    <t xml:space="preserve">Inheritance, interfaces, strategy pattern</t>
  </si>
  <si>
    <t xml:space="preserve">45 min</t>
  </si>
  <si>
    <t xml:space="preserve">Design Splitwise (expense sharing)</t>
  </si>
  <si>
    <t xml:space="preserve">Composition, balancing algorithm logic</t>
  </si>
  <si>
    <t xml:space="preserve">Design Tic-Tac-Toe / Board game</t>
  </si>
  <si>
    <t xml:space="preserve">State management, encapsulation</t>
  </si>
  <si>
    <t xml:space="preserve">30 min</t>
  </si>
  <si>
    <t xml:space="preserve">Design a Library Management System</t>
  </si>
  <si>
    <t xml:space="preserve">Associations, single responsibility</t>
  </si>
  <si>
    <t xml:space="preserve">Design an Elevator System</t>
  </si>
  <si>
    <t xml:space="preserve">State machine, concurrency basics</t>
  </si>
  <si>
    <t xml:space="preserve">Design a Vending Machine</t>
  </si>
  <si>
    <t xml:space="preserve">State pattern, encapsulation</t>
  </si>
  <si>
    <t xml:space="preserve">Design a Rate Limiter (basic)</t>
  </si>
  <si>
    <t xml:space="preserve">Strategy pattern, simple system design overlap</t>
  </si>
  <si>
    <t xml:space="preserve">Design a URL Shortener (basic)</t>
  </si>
  <si>
    <t xml:space="preserve">Hashing logic, simple system design overlap</t>
  </si>
  <si>
    <t xml:space="preserve">SOLID Principles — explain each with example</t>
  </si>
  <si>
    <t xml:space="preserve">Foundational — must be fluent</t>
  </si>
  <si>
    <t xml:space="preserve">Composition vs Inheritance — explain with example</t>
  </si>
  <si>
    <t xml:space="preserve">Foundational — commonly asked directly</t>
  </si>
  <si>
    <t xml:space="preserve">20 min</t>
  </si>
  <si>
    <t xml:space="preserve">Core Subjects — Revision + SQL Practice</t>
  </si>
  <si>
    <t xml:space="preserve">OOP/OS/CN/DBMS = revision only, 'explain clearly out loud' depth. SQL = new, prioritize this. Don't re-learn — confirm fluency.</t>
  </si>
  <si>
    <t xml:space="preserve">Topic</t>
  </si>
  <si>
    <t xml:space="preserve">Subject</t>
  </si>
  <si>
    <t xml:space="preserve">Depth Needed</t>
  </si>
  <si>
    <t xml:space="preserve">4 pillars (Encapsulation, Abstraction, Inheritance, Polymorphism) with examples</t>
  </si>
  <si>
    <t xml:space="preserve">OOP</t>
  </si>
  <si>
    <t xml:space="preserve">Explain-aloud</t>
  </si>
  <si>
    <t xml:space="preserve">Compile-time vs runtime polymorphism</t>
  </si>
  <si>
    <t xml:space="preserve">Constructors, destructors, virtual functions</t>
  </si>
  <si>
    <t xml:space="preserve">Diamond problem / multiple inheritance issues</t>
  </si>
  <si>
    <t xml:space="preserve">Process vs Thread</t>
  </si>
  <si>
    <t xml:space="preserve">OS</t>
  </si>
  <si>
    <t xml:space="preserve">Deadlock — causes + prevention</t>
  </si>
  <si>
    <t xml:space="preserve">Scheduling algorithms (overview only)</t>
  </si>
  <si>
    <t xml:space="preserve">Paging vs Segmentation (overview)</t>
  </si>
  <si>
    <t xml:space="preserve">Mutex vs Semaphore</t>
  </si>
  <si>
    <t xml:space="preserve">Virtual memory — basic concept</t>
  </si>
  <si>
    <t xml:space="preserve">TCP vs UDP</t>
  </si>
  <si>
    <t xml:space="preserve">CN</t>
  </si>
  <si>
    <t xml:space="preserve">OSI model layers (overview)</t>
  </si>
  <si>
    <t xml:space="preserve">DNS resolution flow (overview)</t>
  </si>
  <si>
    <t xml:space="preserve">HTTP vs HTTPS, status codes basics</t>
  </si>
  <si>
    <t xml:space="preserve">3-way handshake</t>
  </si>
  <si>
    <t xml:space="preserve">ACID properties</t>
  </si>
  <si>
    <t xml:space="preserve">DBMS</t>
  </si>
  <si>
    <t xml:space="preserve">Normalization (1NF-3NF) with example</t>
  </si>
  <si>
    <t xml:space="preserve">Indexing — what &amp; why</t>
  </si>
  <si>
    <t xml:space="preserve">Primary key vs Foreign key vs Unique key</t>
  </si>
  <si>
    <t xml:space="preserve">Joins — conceptual (Inner/Left/Right/Full)</t>
  </si>
  <si>
    <t xml:space="preserve">SQL vs NoSQL — when to use which</t>
  </si>
  <si>
    <t xml:space="preserve">Transactions &amp; isolation levels (overview)</t>
  </si>
  <si>
    <t xml:space="preserve">Why MongoDB for GymKhanna — be ready to defend</t>
  </si>
  <si>
    <t xml:space="preserve">Project-specific</t>
  </si>
  <si>
    <t xml:space="preserve">OOP applied: map GymKhanna design to OOP principles</t>
  </si>
  <si>
    <t xml:space="preserve">Networking basics applied to MERN (REST, CORS, ports)</t>
  </si>
  <si>
    <t xml:space="preserve">SQL PRACTICE (NEW — HIGH PRIORITY)</t>
  </si>
  <si>
    <t xml:space="preserve">Basic SELECT, WHERE, ORDER BY</t>
  </si>
  <si>
    <t xml:space="preserve">SQL</t>
  </si>
  <si>
    <t xml:space="preserve">Hands-on</t>
  </si>
  <si>
    <t xml:space="preserve">GROUP BY + HAVING</t>
  </si>
  <si>
    <t xml:space="preserve">INNER / LEFT / RIGHT / FULL JOIN — write queries</t>
  </si>
  <si>
    <t xml:space="preserve">Subqueries (nested SELECT)</t>
  </si>
  <si>
    <t xml:space="preserve">Aggregate functions (COUNT, SUM, AVG, MIN, MAX)</t>
  </si>
  <si>
    <t xml:space="preserve">Window functions (RANK, ROW_NUMBER) — if time permits</t>
  </si>
  <si>
    <t xml:space="preserve">Hands-on (stretch)</t>
  </si>
  <si>
    <t xml:space="preserve">UPDATE / DELETE with conditions</t>
  </si>
  <si>
    <t xml:space="preserve">Self joins</t>
  </si>
  <si>
    <t xml:space="preserve">CASE WHEN logic in queries</t>
  </si>
  <si>
    <t xml:space="preserve">Practice 10-15 SQL problems (LeetCode SQL / HackerRank)</t>
  </si>
  <si>
    <t xml:space="preserve">Resume Deep-Dive &amp; Behavioral Prep</t>
  </si>
  <si>
    <t xml:space="preserve">Assume every resume line gets questioned. Prep stories using situation-action-result structure.</t>
  </si>
  <si>
    <t xml:space="preserve">Item</t>
  </si>
  <si>
    <t xml:space="preserve">Type</t>
  </si>
  <si>
    <t xml:space="preserve">Key Points / Story Notes</t>
  </si>
  <si>
    <t xml:space="preserve">GymKhanna — why MERN, why this schema</t>
  </si>
  <si>
    <t xml:space="preserve">Resume Defense</t>
  </si>
  <si>
    <t xml:space="preserve">GymKhanna — PR detection / streak logic walk-through</t>
  </si>
  <si>
    <t xml:space="preserve">GymKhanna — what would you change at scale</t>
  </si>
  <si>
    <t xml:space="preserve">Take-Note — Redis rate limiting explanation</t>
  </si>
  <si>
    <t xml:space="preserve">Take-Note — CORS / ES module issues you debugged</t>
  </si>
  <si>
    <t xml:space="preserve">Huffman Compressor — algorithm explanation</t>
  </si>
  <si>
    <t xml:space="preserve">Toughest bug you've debugged (any project)</t>
  </si>
  <si>
    <t xml:space="preserve">Engifest — Head of PR: leadership story</t>
  </si>
  <si>
    <t xml:space="preserve">Behavioral</t>
  </si>
  <si>
    <t xml:space="preserve">Engifest — conflict resolution story</t>
  </si>
  <si>
    <t xml:space="preserve">A time you failed / made a mistake</t>
  </si>
  <si>
    <t xml:space="preserve">A time you handled ambiguity</t>
  </si>
  <si>
    <t xml:space="preserve">Why this company / role (tailor per company)</t>
  </si>
  <si>
    <t xml:space="preserve">Strengths &amp; weaknesses — have real examples ready</t>
  </si>
  <si>
    <t xml:space="preserve">Questions to ask the interviewer</t>
  </si>
  <si>
    <t xml:space="preserve">Resume — read it cold, anticipate every question</t>
  </si>
  <si>
    <t xml:space="preserve">Daily Log</t>
  </si>
  <si>
    <t xml:space="preserve">Fill this every evening — 5 min. Forces honest tracking against the &lt;1 month window.</t>
  </si>
  <si>
    <t xml:space="preserve">Date</t>
  </si>
  <si>
    <t xml:space="preserve">DSA (# solved)</t>
  </si>
  <si>
    <t xml:space="preserve">GymKhanna progress</t>
  </si>
  <si>
    <t xml:space="preserve">SQL / LLD / Core</t>
  </si>
  <si>
    <t xml:space="preserve">Hours studied</t>
  </si>
  <si>
    <t xml:space="preserve">Reflection / blocker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</si>
</sst>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B0002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5F3"/>
        <bgColor rgb="FFD9F2E3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F2E3"/>
        </patternFill>
      </fill>
    </dxf>
    <dxf>
      <fill>
        <patternFill>
          <bgColor rgb="FFFCE9C6"/>
        </patternFill>
      </fill>
    </dxf>
    <dxf>
      <fill>
        <patternFill>
          <bgColor rgb="FFFAD7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9C6"/>
      <rgbColor rgb="FFCCFFFF"/>
      <rgbColor rgb="FF660066"/>
      <rgbColor rgb="FFFF8080"/>
      <rgbColor rgb="FF0066CC"/>
      <rgbColor rgb="FFD9E5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AD7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15" hidden="false" customHeight="false" outlineLevel="0" collapsed="false">
      <c r="A7" s="6" t="s">
        <v>10</v>
      </c>
      <c r="B7" s="7" t="n">
        <f aca="false">COUNTIF('DSA Tracker'!E5:E79,"Done")</f>
        <v>0</v>
      </c>
      <c r="C7" s="7" t="n">
        <f aca="false">COUNTA('DSA Tracker'!A5:A79)</f>
        <v>75</v>
      </c>
      <c r="D7" s="8" t="n">
        <f aca="false">IFERROR(B7/C7,0)</f>
        <v>0</v>
      </c>
      <c r="E7" s="7" t="s">
        <v>11</v>
      </c>
      <c r="F7" s="9" t="str">
        <f aca="false">IF(D7=1,"Complete",IF(D7&gt;=0.5,"On Track","Needs Attention"))</f>
        <v>Needs Attention</v>
      </c>
    </row>
    <row r="8" customFormat="false" ht="15" hidden="false" customHeight="false" outlineLevel="0" collapsed="false">
      <c r="A8" s="6" t="s">
        <v>12</v>
      </c>
      <c r="B8" s="7" t="n">
        <f aca="false">COUNTIF('Project Tracker'!E5:E40,"Done")</f>
        <v>0</v>
      </c>
      <c r="C8" s="7" t="n">
        <f aca="false">COUNTA('Project Tracker'!A5:A40)</f>
        <v>17</v>
      </c>
      <c r="D8" s="8" t="n">
        <f aca="false">IFERROR(B8/C8,0)</f>
        <v>0</v>
      </c>
      <c r="E8" s="7" t="s">
        <v>13</v>
      </c>
      <c r="F8" s="9" t="str">
        <f aca="false">IF(D8=1,"Complete",IF(D8&gt;=0.5,"On Track","Needs Attention"))</f>
        <v>Needs Attention</v>
      </c>
    </row>
    <row r="9" customFormat="false" ht="15" hidden="false" customHeight="false" outlineLevel="0" collapsed="false">
      <c r="A9" s="6" t="s">
        <v>14</v>
      </c>
      <c r="B9" s="7" t="n">
        <f aca="false">COUNTIF('Core Subjects'!E30:E45,"Done")</f>
        <v>0</v>
      </c>
      <c r="C9" s="7" t="n">
        <f aca="false">COUNTA('Core Subjects'!A30:A45)</f>
        <v>11</v>
      </c>
      <c r="D9" s="8" t="n">
        <f aca="false">IFERROR(B9/C9,0)</f>
        <v>0</v>
      </c>
      <c r="E9" s="7" t="s">
        <v>15</v>
      </c>
      <c r="F9" s="9" t="str">
        <f aca="false">IF(D9=1,"Complete",IF(D9&gt;=0.5,"On Track","Needs Attention"))</f>
        <v>Needs Attention</v>
      </c>
    </row>
    <row r="10" customFormat="false" ht="15" hidden="false" customHeight="false" outlineLevel="0" collapsed="false">
      <c r="A10" s="6" t="s">
        <v>16</v>
      </c>
      <c r="B10" s="7" t="n">
        <f aca="false">COUNTIF('LLD Tracker'!E5:E14,"Done")</f>
        <v>0</v>
      </c>
      <c r="C10" s="7" t="n">
        <f aca="false">COUNTA('LLD Tracker'!A5:A14)</f>
        <v>10</v>
      </c>
      <c r="D10" s="8" t="n">
        <f aca="false">IFERROR(B10/C10,0)</f>
        <v>0</v>
      </c>
      <c r="E10" s="7" t="s">
        <v>17</v>
      </c>
      <c r="F10" s="9" t="str">
        <f aca="false">IF(D10=1,"Complete",IF(D10&gt;=0.5,"On Track","Needs Attention"))</f>
        <v>Needs Attention</v>
      </c>
    </row>
    <row r="11" customFormat="false" ht="15" hidden="false" customHeight="false" outlineLevel="0" collapsed="false">
      <c r="A11" s="6" t="s">
        <v>18</v>
      </c>
      <c r="B11" s="7" t="n">
        <f aca="false">COUNTIF('Core Subjects'!E5:E29,"Done")</f>
        <v>0</v>
      </c>
      <c r="C11" s="7" t="n">
        <f aca="false">COUNTA('Core Subjects'!A5:A29)</f>
        <v>25</v>
      </c>
      <c r="D11" s="8" t="n">
        <f aca="false">IFERROR(B11/C11,0)</f>
        <v>0</v>
      </c>
      <c r="E11" s="7" t="s">
        <v>19</v>
      </c>
      <c r="F11" s="9" t="str">
        <f aca="false">IF(D11=1,"Complete",IF(D11&gt;=0.5,"On Track","Needs Attention"))</f>
        <v>Needs Attention</v>
      </c>
    </row>
    <row r="12" customFormat="false" ht="15" hidden="false" customHeight="false" outlineLevel="0" collapsed="false">
      <c r="A12" s="6" t="s">
        <v>20</v>
      </c>
      <c r="B12" s="7" t="n">
        <f aca="false">COUNTIF('Resume &amp; Behavioral'!D5:D20,"Done")</f>
        <v>0</v>
      </c>
      <c r="C12" s="7" t="n">
        <f aca="false">COUNTA('Resume &amp; Behavioral'!A5:A20)</f>
        <v>15</v>
      </c>
      <c r="D12" s="8" t="n">
        <f aca="false">IFERROR(B12/C12,0)</f>
        <v>0</v>
      </c>
      <c r="E12" s="7" t="s">
        <v>21</v>
      </c>
      <c r="F12" s="9" t="str">
        <f aca="false">IF(D12=1,"Complete",IF(D12&gt;=0.5,"On Track","Needs Attention"))</f>
        <v>Needs Attention</v>
      </c>
    </row>
    <row r="14" customFormat="false" ht="15" hidden="false" customHeight="false" outlineLevel="0" collapsed="false">
      <c r="A14" s="10" t="s">
        <v>22</v>
      </c>
      <c r="B14" s="11"/>
      <c r="C14" s="11"/>
      <c r="D14" s="12" t="n">
        <f aca="false">AVERAGE(D7:D12)</f>
        <v>0</v>
      </c>
      <c r="E14" s="11"/>
      <c r="F14" s="11"/>
    </row>
    <row r="17" customFormat="false" ht="15" hidden="false" customHeight="false" outlineLevel="0" collapsed="false">
      <c r="A17" s="13" t="s">
        <v>23</v>
      </c>
      <c r="B17" s="13"/>
      <c r="C17" s="13"/>
      <c r="D17" s="13"/>
      <c r="E17" s="13"/>
      <c r="F17" s="13"/>
    </row>
    <row r="18" customFormat="false" ht="31.5" hidden="false" customHeight="true" outlineLevel="0" collapsed="false">
      <c r="A18" s="14" t="s">
        <v>24</v>
      </c>
      <c r="B18" s="15" t="s">
        <v>25</v>
      </c>
      <c r="C18" s="15"/>
      <c r="D18" s="15"/>
      <c r="E18" s="15"/>
      <c r="F18" s="15"/>
    </row>
    <row r="19" customFormat="false" ht="31.5" hidden="false" customHeight="true" outlineLevel="0" collapsed="false">
      <c r="A19" s="14" t="s">
        <v>26</v>
      </c>
      <c r="B19" s="15" t="s">
        <v>27</v>
      </c>
      <c r="C19" s="15"/>
      <c r="D19" s="15"/>
      <c r="E19" s="15"/>
      <c r="F19" s="15"/>
    </row>
    <row r="20" customFormat="false" ht="31.5" hidden="false" customHeight="true" outlineLevel="0" collapsed="false">
      <c r="A20" s="14" t="s">
        <v>28</v>
      </c>
      <c r="B20" s="15" t="s">
        <v>29</v>
      </c>
      <c r="C20" s="15"/>
      <c r="D20" s="15"/>
      <c r="E20" s="15"/>
      <c r="F20" s="15"/>
    </row>
    <row r="22" customFormat="false" ht="15" hidden="false" customHeight="false" outlineLevel="0" collapsed="false">
      <c r="A22" s="16" t="s">
        <v>30</v>
      </c>
      <c r="B22" s="16"/>
      <c r="C22" s="16"/>
      <c r="D22" s="16"/>
      <c r="E22" s="16"/>
      <c r="F22" s="16"/>
    </row>
  </sheetData>
  <mergeCells count="8">
    <mergeCell ref="A1:F1"/>
    <mergeCell ref="A2:F2"/>
    <mergeCell ref="B4:F4"/>
    <mergeCell ref="A17:F17"/>
    <mergeCell ref="B18:F18"/>
    <mergeCell ref="B19:F19"/>
    <mergeCell ref="B20:F20"/>
    <mergeCell ref="A22:F22"/>
  </mergeCells>
  <conditionalFormatting sqref="F7:F12">
    <cfRule type="expression" priority="2" aboveAverage="0" equalAverage="0" bottom="0" percent="0" rank="0" text="" dxfId="0">
      <formula>F7="Complete"</formula>
    </cfRule>
    <cfRule type="expression" priority="3" aboveAverage="0" equalAverage="0" bottom="0" percent="0" rank="0" text="" dxfId="1">
      <formula>F7="On Track"</formula>
    </cfRule>
    <cfRule type="expression" priority="4" aboveAverage="0" equalAverage="0" bottom="0" percent="0" rank="0" text="" dxfId="2">
      <formula>F7="Needs Attention"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31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32</v>
      </c>
      <c r="B2" s="16"/>
      <c r="C2" s="16"/>
      <c r="D2" s="16"/>
      <c r="E2" s="16"/>
      <c r="F2" s="16"/>
    </row>
    <row r="4" customFormat="false" ht="25.5" hidden="false" customHeight="true" outlineLevel="0" collapsed="false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</row>
    <row r="5" customFormat="false" ht="15" hidden="false" customHeight="false" outlineLevel="0" collapsed="false">
      <c r="A5" s="17" t="n">
        <v>1</v>
      </c>
      <c r="B5" s="18" t="s">
        <v>39</v>
      </c>
      <c r="C5" s="18" t="s">
        <v>40</v>
      </c>
      <c r="D5" s="17" t="s">
        <v>41</v>
      </c>
      <c r="E5" s="17" t="s">
        <v>42</v>
      </c>
      <c r="F5" s="18"/>
    </row>
    <row r="6" customFormat="false" ht="15" hidden="false" customHeight="false" outlineLevel="0" collapsed="false">
      <c r="A6" s="17" t="n">
        <v>2</v>
      </c>
      <c r="B6" s="18" t="s">
        <v>43</v>
      </c>
      <c r="C6" s="18" t="s">
        <v>40</v>
      </c>
      <c r="D6" s="17" t="s">
        <v>41</v>
      </c>
      <c r="E6" s="17" t="s">
        <v>42</v>
      </c>
      <c r="F6" s="18"/>
    </row>
    <row r="7" customFormat="false" ht="15" hidden="false" customHeight="false" outlineLevel="0" collapsed="false">
      <c r="A7" s="17" t="n">
        <v>3</v>
      </c>
      <c r="B7" s="18" t="s">
        <v>44</v>
      </c>
      <c r="C7" s="18" t="s">
        <v>40</v>
      </c>
      <c r="D7" s="17" t="s">
        <v>45</v>
      </c>
      <c r="E7" s="17" t="s">
        <v>42</v>
      </c>
      <c r="F7" s="18"/>
    </row>
    <row r="8" customFormat="false" ht="15" hidden="false" customHeight="false" outlineLevel="0" collapsed="false">
      <c r="A8" s="17" t="n">
        <v>4</v>
      </c>
      <c r="B8" s="18" t="s">
        <v>46</v>
      </c>
      <c r="C8" s="18" t="s">
        <v>40</v>
      </c>
      <c r="D8" s="17" t="s">
        <v>45</v>
      </c>
      <c r="E8" s="17" t="s">
        <v>42</v>
      </c>
      <c r="F8" s="18"/>
    </row>
    <row r="9" customFormat="false" ht="15" hidden="false" customHeight="false" outlineLevel="0" collapsed="false">
      <c r="A9" s="17" t="n">
        <v>5</v>
      </c>
      <c r="B9" s="18" t="s">
        <v>47</v>
      </c>
      <c r="C9" s="18" t="s">
        <v>40</v>
      </c>
      <c r="D9" s="17" t="s">
        <v>45</v>
      </c>
      <c r="E9" s="17" t="s">
        <v>42</v>
      </c>
      <c r="F9" s="18"/>
    </row>
    <row r="10" customFormat="false" ht="15" hidden="false" customHeight="false" outlineLevel="0" collapsed="false">
      <c r="A10" s="17" t="n">
        <v>6</v>
      </c>
      <c r="B10" s="18" t="s">
        <v>48</v>
      </c>
      <c r="C10" s="18" t="s">
        <v>49</v>
      </c>
      <c r="D10" s="17" t="s">
        <v>45</v>
      </c>
      <c r="E10" s="17" t="s">
        <v>42</v>
      </c>
      <c r="F10" s="18"/>
    </row>
    <row r="11" customFormat="false" ht="15" hidden="false" customHeight="false" outlineLevel="0" collapsed="false">
      <c r="A11" s="17" t="n">
        <v>7</v>
      </c>
      <c r="B11" s="18" t="s">
        <v>50</v>
      </c>
      <c r="C11" s="18" t="s">
        <v>49</v>
      </c>
      <c r="D11" s="17" t="s">
        <v>45</v>
      </c>
      <c r="E11" s="17" t="s">
        <v>42</v>
      </c>
      <c r="F11" s="18"/>
    </row>
    <row r="12" customFormat="false" ht="15" hidden="false" customHeight="false" outlineLevel="0" collapsed="false">
      <c r="A12" s="17" t="n">
        <v>8</v>
      </c>
      <c r="B12" s="18" t="s">
        <v>51</v>
      </c>
      <c r="C12" s="18" t="s">
        <v>52</v>
      </c>
      <c r="D12" s="17" t="s">
        <v>45</v>
      </c>
      <c r="E12" s="17" t="s">
        <v>42</v>
      </c>
      <c r="F12" s="18"/>
    </row>
    <row r="13" customFormat="false" ht="15" hidden="false" customHeight="false" outlineLevel="0" collapsed="false">
      <c r="A13" s="17" t="n">
        <v>9</v>
      </c>
      <c r="B13" s="18" t="s">
        <v>53</v>
      </c>
      <c r="C13" s="18" t="s">
        <v>54</v>
      </c>
      <c r="D13" s="17" t="s">
        <v>45</v>
      </c>
      <c r="E13" s="17" t="s">
        <v>42</v>
      </c>
      <c r="F13" s="18"/>
    </row>
    <row r="14" customFormat="false" ht="15" hidden="false" customHeight="false" outlineLevel="0" collapsed="false">
      <c r="A14" s="17" t="n">
        <v>10</v>
      </c>
      <c r="B14" s="18" t="s">
        <v>55</v>
      </c>
      <c r="C14" s="18" t="s">
        <v>56</v>
      </c>
      <c r="D14" s="17" t="s">
        <v>45</v>
      </c>
      <c r="E14" s="17" t="s">
        <v>42</v>
      </c>
      <c r="F14" s="18"/>
    </row>
    <row r="15" customFormat="false" ht="15" hidden="false" customHeight="false" outlineLevel="0" collapsed="false">
      <c r="A15" s="17" t="n">
        <v>11</v>
      </c>
      <c r="B15" s="18" t="s">
        <v>57</v>
      </c>
      <c r="C15" s="18" t="s">
        <v>56</v>
      </c>
      <c r="D15" s="17" t="s">
        <v>41</v>
      </c>
      <c r="E15" s="17" t="s">
        <v>42</v>
      </c>
      <c r="F15" s="18"/>
    </row>
    <row r="16" customFormat="false" ht="15" hidden="false" customHeight="false" outlineLevel="0" collapsed="false">
      <c r="A16" s="17" t="n">
        <v>12</v>
      </c>
      <c r="B16" s="18" t="s">
        <v>58</v>
      </c>
      <c r="C16" s="18" t="s">
        <v>56</v>
      </c>
      <c r="D16" s="17" t="s">
        <v>41</v>
      </c>
      <c r="E16" s="17" t="s">
        <v>42</v>
      </c>
      <c r="F16" s="18"/>
    </row>
    <row r="17" customFormat="false" ht="15" hidden="false" customHeight="false" outlineLevel="0" collapsed="false">
      <c r="A17" s="17" t="n">
        <v>13</v>
      </c>
      <c r="B17" s="18" t="s">
        <v>59</v>
      </c>
      <c r="C17" s="18" t="s">
        <v>56</v>
      </c>
      <c r="D17" s="17" t="s">
        <v>41</v>
      </c>
      <c r="E17" s="17" t="s">
        <v>42</v>
      </c>
      <c r="F17" s="18"/>
    </row>
    <row r="18" customFormat="false" ht="15" hidden="false" customHeight="false" outlineLevel="0" collapsed="false">
      <c r="A18" s="17" t="n">
        <v>14</v>
      </c>
      <c r="B18" s="18" t="s">
        <v>60</v>
      </c>
      <c r="C18" s="18" t="s">
        <v>56</v>
      </c>
      <c r="D18" s="17" t="s">
        <v>41</v>
      </c>
      <c r="E18" s="17" t="s">
        <v>42</v>
      </c>
      <c r="F18" s="18"/>
    </row>
    <row r="19" customFormat="false" ht="15" hidden="false" customHeight="false" outlineLevel="0" collapsed="false">
      <c r="A19" s="17" t="n">
        <v>15</v>
      </c>
      <c r="B19" s="18" t="s">
        <v>61</v>
      </c>
      <c r="C19" s="18" t="s">
        <v>62</v>
      </c>
      <c r="D19" s="17" t="s">
        <v>41</v>
      </c>
      <c r="E19" s="17" t="s">
        <v>42</v>
      </c>
      <c r="F19" s="18"/>
    </row>
    <row r="20" customFormat="false" ht="15" hidden="false" customHeight="false" outlineLevel="0" collapsed="false">
      <c r="A20" s="17" t="n">
        <v>16</v>
      </c>
      <c r="B20" s="18" t="s">
        <v>63</v>
      </c>
      <c r="C20" s="18" t="s">
        <v>62</v>
      </c>
      <c r="D20" s="17" t="s">
        <v>45</v>
      </c>
      <c r="E20" s="17" t="s">
        <v>42</v>
      </c>
      <c r="F20" s="18"/>
    </row>
    <row r="21" customFormat="false" ht="15" hidden="false" customHeight="false" outlineLevel="0" collapsed="false">
      <c r="A21" s="17" t="n">
        <v>17</v>
      </c>
      <c r="B21" s="18" t="s">
        <v>64</v>
      </c>
      <c r="C21" s="18" t="s">
        <v>62</v>
      </c>
      <c r="D21" s="17" t="s">
        <v>45</v>
      </c>
      <c r="E21" s="17" t="s">
        <v>42</v>
      </c>
      <c r="F21" s="18"/>
    </row>
    <row r="22" customFormat="false" ht="15" hidden="false" customHeight="false" outlineLevel="0" collapsed="false">
      <c r="A22" s="17" t="n">
        <v>18</v>
      </c>
      <c r="B22" s="18" t="s">
        <v>65</v>
      </c>
      <c r="C22" s="18" t="s">
        <v>62</v>
      </c>
      <c r="D22" s="17" t="s">
        <v>45</v>
      </c>
      <c r="E22" s="17" t="s">
        <v>42</v>
      </c>
      <c r="F22" s="18"/>
    </row>
    <row r="23" customFormat="false" ht="15" hidden="false" customHeight="false" outlineLevel="0" collapsed="false">
      <c r="A23" s="17" t="n">
        <v>19</v>
      </c>
      <c r="B23" s="18" t="s">
        <v>66</v>
      </c>
      <c r="C23" s="18" t="s">
        <v>62</v>
      </c>
      <c r="D23" s="17" t="s">
        <v>45</v>
      </c>
      <c r="E23" s="17" t="s">
        <v>42</v>
      </c>
      <c r="F23" s="18"/>
    </row>
    <row r="24" customFormat="false" ht="15" hidden="false" customHeight="false" outlineLevel="0" collapsed="false">
      <c r="A24" s="17" t="n">
        <v>20</v>
      </c>
      <c r="B24" s="18" t="s">
        <v>67</v>
      </c>
      <c r="C24" s="18" t="s">
        <v>62</v>
      </c>
      <c r="D24" s="17" t="s">
        <v>45</v>
      </c>
      <c r="E24" s="17" t="s">
        <v>42</v>
      </c>
      <c r="F24" s="18"/>
    </row>
    <row r="25" customFormat="false" ht="15" hidden="false" customHeight="false" outlineLevel="0" collapsed="false">
      <c r="A25" s="17" t="n">
        <v>21</v>
      </c>
      <c r="B25" s="18" t="s">
        <v>68</v>
      </c>
      <c r="C25" s="18" t="s">
        <v>62</v>
      </c>
      <c r="D25" s="17" t="s">
        <v>45</v>
      </c>
      <c r="E25" s="17" t="s">
        <v>42</v>
      </c>
      <c r="F25" s="18"/>
    </row>
    <row r="26" customFormat="false" ht="15" hidden="false" customHeight="false" outlineLevel="0" collapsed="false">
      <c r="A26" s="17" t="n">
        <v>22</v>
      </c>
      <c r="B26" s="18" t="s">
        <v>69</v>
      </c>
      <c r="C26" s="18" t="s">
        <v>62</v>
      </c>
      <c r="D26" s="17" t="s">
        <v>45</v>
      </c>
      <c r="E26" s="17" t="s">
        <v>42</v>
      </c>
      <c r="F26" s="18"/>
    </row>
    <row r="27" customFormat="false" ht="15" hidden="false" customHeight="false" outlineLevel="0" collapsed="false">
      <c r="A27" s="17" t="n">
        <v>23</v>
      </c>
      <c r="B27" s="18" t="s">
        <v>70</v>
      </c>
      <c r="C27" s="18" t="s">
        <v>62</v>
      </c>
      <c r="D27" s="17" t="s">
        <v>45</v>
      </c>
      <c r="E27" s="17" t="s">
        <v>42</v>
      </c>
      <c r="F27" s="18"/>
    </row>
    <row r="28" customFormat="false" ht="15" hidden="false" customHeight="false" outlineLevel="0" collapsed="false">
      <c r="A28" s="17" t="n">
        <v>24</v>
      </c>
      <c r="B28" s="18" t="s">
        <v>71</v>
      </c>
      <c r="C28" s="18" t="s">
        <v>62</v>
      </c>
      <c r="D28" s="17" t="s">
        <v>45</v>
      </c>
      <c r="E28" s="17" t="s">
        <v>42</v>
      </c>
      <c r="F28" s="18"/>
    </row>
    <row r="29" customFormat="false" ht="23.85" hidden="false" customHeight="false" outlineLevel="0" collapsed="false">
      <c r="A29" s="17" t="n">
        <v>25</v>
      </c>
      <c r="B29" s="18" t="s">
        <v>72</v>
      </c>
      <c r="C29" s="18" t="s">
        <v>73</v>
      </c>
      <c r="D29" s="17" t="s">
        <v>45</v>
      </c>
      <c r="E29" s="17" t="s">
        <v>42</v>
      </c>
      <c r="F29" s="18"/>
    </row>
    <row r="30" customFormat="false" ht="15" hidden="false" customHeight="false" outlineLevel="0" collapsed="false">
      <c r="A30" s="17" t="n">
        <v>26</v>
      </c>
      <c r="B30" s="18" t="s">
        <v>74</v>
      </c>
      <c r="C30" s="18" t="s">
        <v>75</v>
      </c>
      <c r="D30" s="17" t="s">
        <v>45</v>
      </c>
      <c r="E30" s="17" t="s">
        <v>42</v>
      </c>
      <c r="F30" s="18"/>
    </row>
    <row r="31" customFormat="false" ht="15" hidden="false" customHeight="false" outlineLevel="0" collapsed="false">
      <c r="A31" s="17" t="n">
        <v>27</v>
      </c>
      <c r="B31" s="18" t="s">
        <v>76</v>
      </c>
      <c r="C31" s="18" t="s">
        <v>77</v>
      </c>
      <c r="D31" s="17" t="s">
        <v>45</v>
      </c>
      <c r="E31" s="17" t="s">
        <v>42</v>
      </c>
      <c r="F31" s="18"/>
    </row>
    <row r="32" customFormat="false" ht="15" hidden="false" customHeight="false" outlineLevel="0" collapsed="false">
      <c r="A32" s="17" t="n">
        <v>28</v>
      </c>
      <c r="B32" s="18" t="s">
        <v>78</v>
      </c>
      <c r="C32" s="18" t="s">
        <v>79</v>
      </c>
      <c r="D32" s="17" t="s">
        <v>45</v>
      </c>
      <c r="E32" s="17" t="s">
        <v>42</v>
      </c>
      <c r="F32" s="18"/>
    </row>
    <row r="33" customFormat="false" ht="15" hidden="false" customHeight="false" outlineLevel="0" collapsed="false">
      <c r="A33" s="17" t="n">
        <v>29</v>
      </c>
      <c r="B33" s="18" t="s">
        <v>80</v>
      </c>
      <c r="C33" s="18" t="s">
        <v>79</v>
      </c>
      <c r="D33" s="17" t="s">
        <v>45</v>
      </c>
      <c r="E33" s="17" t="s">
        <v>42</v>
      </c>
      <c r="F33" s="18"/>
    </row>
    <row r="34" customFormat="false" ht="15" hidden="false" customHeight="false" outlineLevel="0" collapsed="false">
      <c r="A34" s="17" t="n">
        <v>30</v>
      </c>
      <c r="B34" s="18" t="s">
        <v>81</v>
      </c>
      <c r="C34" s="18" t="s">
        <v>82</v>
      </c>
      <c r="D34" s="17" t="s">
        <v>45</v>
      </c>
      <c r="E34" s="17" t="s">
        <v>42</v>
      </c>
      <c r="F34" s="18"/>
    </row>
    <row r="35" customFormat="false" ht="15" hidden="false" customHeight="false" outlineLevel="0" collapsed="false">
      <c r="A35" s="17" t="n">
        <v>31</v>
      </c>
      <c r="B35" s="18" t="s">
        <v>83</v>
      </c>
      <c r="C35" s="18" t="s">
        <v>77</v>
      </c>
      <c r="D35" s="17" t="s">
        <v>84</v>
      </c>
      <c r="E35" s="17" t="s">
        <v>42</v>
      </c>
      <c r="F35" s="18"/>
    </row>
    <row r="36" customFormat="false" ht="15" hidden="false" customHeight="false" outlineLevel="0" collapsed="false">
      <c r="A36" s="17" t="n">
        <v>32</v>
      </c>
      <c r="B36" s="18" t="s">
        <v>85</v>
      </c>
      <c r="C36" s="18" t="s">
        <v>82</v>
      </c>
      <c r="D36" s="17" t="s">
        <v>45</v>
      </c>
      <c r="E36" s="17" t="s">
        <v>42</v>
      </c>
      <c r="F36" s="18"/>
    </row>
    <row r="37" customFormat="false" ht="15" hidden="false" customHeight="false" outlineLevel="0" collapsed="false">
      <c r="A37" s="17" t="n">
        <v>33</v>
      </c>
      <c r="B37" s="18" t="s">
        <v>86</v>
      </c>
      <c r="C37" s="18" t="s">
        <v>82</v>
      </c>
      <c r="D37" s="17" t="s">
        <v>45</v>
      </c>
      <c r="E37" s="17" t="s">
        <v>42</v>
      </c>
      <c r="F37" s="18"/>
    </row>
    <row r="38" customFormat="false" ht="15" hidden="false" customHeight="false" outlineLevel="0" collapsed="false">
      <c r="A38" s="17" t="n">
        <v>34</v>
      </c>
      <c r="B38" s="18" t="s">
        <v>87</v>
      </c>
      <c r="C38" s="18" t="s">
        <v>88</v>
      </c>
      <c r="D38" s="17" t="s">
        <v>45</v>
      </c>
      <c r="E38" s="17" t="s">
        <v>42</v>
      </c>
      <c r="F38" s="18"/>
    </row>
    <row r="39" customFormat="false" ht="15" hidden="false" customHeight="false" outlineLevel="0" collapsed="false">
      <c r="A39" s="17" t="n">
        <v>35</v>
      </c>
      <c r="B39" s="18" t="s">
        <v>89</v>
      </c>
      <c r="C39" s="18" t="s">
        <v>88</v>
      </c>
      <c r="D39" s="17" t="s">
        <v>45</v>
      </c>
      <c r="E39" s="17" t="s">
        <v>42</v>
      </c>
      <c r="F39" s="18"/>
    </row>
    <row r="40" customFormat="false" ht="15" hidden="false" customHeight="false" outlineLevel="0" collapsed="false">
      <c r="A40" s="17" t="n">
        <v>36</v>
      </c>
      <c r="B40" s="18" t="s">
        <v>90</v>
      </c>
      <c r="C40" s="18" t="s">
        <v>88</v>
      </c>
      <c r="D40" s="17" t="s">
        <v>45</v>
      </c>
      <c r="E40" s="17" t="s">
        <v>42</v>
      </c>
      <c r="F40" s="18"/>
    </row>
    <row r="41" customFormat="false" ht="15" hidden="false" customHeight="false" outlineLevel="0" collapsed="false">
      <c r="A41" s="17" t="n">
        <v>37</v>
      </c>
      <c r="B41" s="18" t="s">
        <v>91</v>
      </c>
      <c r="C41" s="18" t="s">
        <v>88</v>
      </c>
      <c r="D41" s="17" t="s">
        <v>41</v>
      </c>
      <c r="E41" s="17" t="s">
        <v>42</v>
      </c>
      <c r="F41" s="18"/>
    </row>
    <row r="42" customFormat="false" ht="15" hidden="false" customHeight="false" outlineLevel="0" collapsed="false">
      <c r="A42" s="17" t="n">
        <v>38</v>
      </c>
      <c r="B42" s="18" t="s">
        <v>92</v>
      </c>
      <c r="C42" s="18" t="s">
        <v>88</v>
      </c>
      <c r="D42" s="17" t="s">
        <v>45</v>
      </c>
      <c r="E42" s="17" t="s">
        <v>42</v>
      </c>
      <c r="F42" s="18"/>
    </row>
    <row r="43" customFormat="false" ht="15" hidden="false" customHeight="false" outlineLevel="0" collapsed="false">
      <c r="A43" s="17" t="n">
        <v>39</v>
      </c>
      <c r="B43" s="18" t="s">
        <v>93</v>
      </c>
      <c r="C43" s="18" t="s">
        <v>94</v>
      </c>
      <c r="D43" s="17" t="s">
        <v>41</v>
      </c>
      <c r="E43" s="17" t="s">
        <v>42</v>
      </c>
      <c r="F43" s="18"/>
    </row>
    <row r="44" customFormat="false" ht="15" hidden="false" customHeight="false" outlineLevel="0" collapsed="false">
      <c r="A44" s="17" t="n">
        <v>40</v>
      </c>
      <c r="B44" s="18" t="s">
        <v>95</v>
      </c>
      <c r="C44" s="18" t="s">
        <v>94</v>
      </c>
      <c r="D44" s="17" t="s">
        <v>41</v>
      </c>
      <c r="E44" s="17" t="s">
        <v>42</v>
      </c>
      <c r="F44" s="18"/>
    </row>
    <row r="45" customFormat="false" ht="15" hidden="false" customHeight="false" outlineLevel="0" collapsed="false">
      <c r="A45" s="17" t="n">
        <v>41</v>
      </c>
      <c r="B45" s="18" t="s">
        <v>96</v>
      </c>
      <c r="C45" s="18" t="s">
        <v>94</v>
      </c>
      <c r="D45" s="17" t="s">
        <v>41</v>
      </c>
      <c r="E45" s="17" t="s">
        <v>42</v>
      </c>
      <c r="F45" s="18"/>
    </row>
    <row r="46" customFormat="false" ht="15" hidden="false" customHeight="false" outlineLevel="0" collapsed="false">
      <c r="A46" s="17" t="n">
        <v>42</v>
      </c>
      <c r="B46" s="18" t="s">
        <v>97</v>
      </c>
      <c r="C46" s="18" t="s">
        <v>98</v>
      </c>
      <c r="D46" s="17" t="s">
        <v>84</v>
      </c>
      <c r="E46" s="17" t="s">
        <v>42</v>
      </c>
      <c r="F46" s="18"/>
    </row>
    <row r="47" customFormat="false" ht="15" hidden="false" customHeight="false" outlineLevel="0" collapsed="false">
      <c r="A47" s="17" t="n">
        <v>43</v>
      </c>
      <c r="B47" s="18" t="s">
        <v>99</v>
      </c>
      <c r="C47" s="18" t="s">
        <v>94</v>
      </c>
      <c r="D47" s="17" t="s">
        <v>45</v>
      </c>
      <c r="E47" s="17" t="s">
        <v>42</v>
      </c>
      <c r="F47" s="18"/>
    </row>
    <row r="48" customFormat="false" ht="15" hidden="false" customHeight="false" outlineLevel="0" collapsed="false">
      <c r="A48" s="17" t="n">
        <v>44</v>
      </c>
      <c r="B48" s="18" t="s">
        <v>100</v>
      </c>
      <c r="C48" s="18" t="s">
        <v>94</v>
      </c>
      <c r="D48" s="17" t="s">
        <v>45</v>
      </c>
      <c r="E48" s="17" t="s">
        <v>42</v>
      </c>
      <c r="F48" s="18"/>
    </row>
    <row r="49" customFormat="false" ht="15" hidden="false" customHeight="false" outlineLevel="0" collapsed="false">
      <c r="A49" s="17" t="n">
        <v>45</v>
      </c>
      <c r="B49" s="18" t="s">
        <v>101</v>
      </c>
      <c r="C49" s="18" t="s">
        <v>102</v>
      </c>
      <c r="D49" s="17" t="s">
        <v>45</v>
      </c>
      <c r="E49" s="17" t="s">
        <v>42</v>
      </c>
      <c r="F49" s="18"/>
    </row>
    <row r="50" customFormat="false" ht="15" hidden="false" customHeight="false" outlineLevel="0" collapsed="false">
      <c r="A50" s="17" t="n">
        <v>46</v>
      </c>
      <c r="B50" s="18" t="s">
        <v>103</v>
      </c>
      <c r="C50" s="18" t="s">
        <v>102</v>
      </c>
      <c r="D50" s="17" t="s">
        <v>45</v>
      </c>
      <c r="E50" s="17" t="s">
        <v>42</v>
      </c>
      <c r="F50" s="18"/>
    </row>
    <row r="51" customFormat="false" ht="15" hidden="false" customHeight="false" outlineLevel="0" collapsed="false">
      <c r="A51" s="17" t="n">
        <v>47</v>
      </c>
      <c r="B51" s="18" t="s">
        <v>104</v>
      </c>
      <c r="C51" s="18" t="s">
        <v>102</v>
      </c>
      <c r="D51" s="17" t="s">
        <v>45</v>
      </c>
      <c r="E51" s="17" t="s">
        <v>42</v>
      </c>
      <c r="F51" s="18"/>
    </row>
    <row r="52" customFormat="false" ht="15" hidden="false" customHeight="false" outlineLevel="0" collapsed="false">
      <c r="A52" s="17" t="n">
        <v>48</v>
      </c>
      <c r="B52" s="18" t="s">
        <v>105</v>
      </c>
      <c r="C52" s="18" t="s">
        <v>106</v>
      </c>
      <c r="D52" s="17" t="s">
        <v>45</v>
      </c>
      <c r="E52" s="17" t="s">
        <v>42</v>
      </c>
      <c r="F52" s="18"/>
    </row>
    <row r="53" customFormat="false" ht="15" hidden="false" customHeight="false" outlineLevel="0" collapsed="false">
      <c r="A53" s="17" t="n">
        <v>49</v>
      </c>
      <c r="B53" s="18" t="s">
        <v>107</v>
      </c>
      <c r="C53" s="18" t="s">
        <v>108</v>
      </c>
      <c r="D53" s="17" t="s">
        <v>45</v>
      </c>
      <c r="E53" s="17" t="s">
        <v>42</v>
      </c>
      <c r="F53" s="18"/>
    </row>
    <row r="54" customFormat="false" ht="15" hidden="false" customHeight="false" outlineLevel="0" collapsed="false">
      <c r="A54" s="17" t="n">
        <v>50</v>
      </c>
      <c r="B54" s="18" t="s">
        <v>109</v>
      </c>
      <c r="C54" s="18" t="s">
        <v>110</v>
      </c>
      <c r="D54" s="17" t="s">
        <v>45</v>
      </c>
      <c r="E54" s="17" t="s">
        <v>42</v>
      </c>
      <c r="F54" s="18"/>
    </row>
    <row r="55" customFormat="false" ht="15" hidden="false" customHeight="false" outlineLevel="0" collapsed="false">
      <c r="A55" s="17" t="n">
        <v>51</v>
      </c>
      <c r="B55" s="18" t="s">
        <v>111</v>
      </c>
      <c r="C55" s="18" t="s">
        <v>110</v>
      </c>
      <c r="D55" s="17" t="s">
        <v>84</v>
      </c>
      <c r="E55" s="17" t="s">
        <v>42</v>
      </c>
      <c r="F55" s="18"/>
    </row>
    <row r="56" customFormat="false" ht="15" hidden="false" customHeight="false" outlineLevel="0" collapsed="false">
      <c r="A56" s="17" t="n">
        <v>52</v>
      </c>
      <c r="B56" s="18" t="s">
        <v>112</v>
      </c>
      <c r="C56" s="18" t="s">
        <v>108</v>
      </c>
      <c r="D56" s="17" t="s">
        <v>41</v>
      </c>
      <c r="E56" s="17" t="s">
        <v>42</v>
      </c>
      <c r="F56" s="18"/>
    </row>
    <row r="57" customFormat="false" ht="15" hidden="false" customHeight="false" outlineLevel="0" collapsed="false">
      <c r="A57" s="17" t="n">
        <v>53</v>
      </c>
      <c r="B57" s="18" t="s">
        <v>113</v>
      </c>
      <c r="C57" s="18" t="s">
        <v>114</v>
      </c>
      <c r="D57" s="17" t="s">
        <v>45</v>
      </c>
      <c r="E57" s="17" t="s">
        <v>42</v>
      </c>
      <c r="F57" s="18"/>
    </row>
    <row r="58" customFormat="false" ht="15" hidden="false" customHeight="false" outlineLevel="0" collapsed="false">
      <c r="A58" s="17" t="n">
        <v>54</v>
      </c>
      <c r="B58" s="18" t="s">
        <v>115</v>
      </c>
      <c r="C58" s="18" t="s">
        <v>116</v>
      </c>
      <c r="D58" s="17" t="s">
        <v>41</v>
      </c>
      <c r="E58" s="17" t="s">
        <v>42</v>
      </c>
      <c r="F58" s="18"/>
    </row>
    <row r="59" customFormat="false" ht="15" hidden="false" customHeight="false" outlineLevel="0" collapsed="false">
      <c r="A59" s="17" t="n">
        <v>55</v>
      </c>
      <c r="B59" s="18" t="s">
        <v>117</v>
      </c>
      <c r="C59" s="18" t="s">
        <v>118</v>
      </c>
      <c r="D59" s="17" t="s">
        <v>41</v>
      </c>
      <c r="E59" s="17" t="s">
        <v>42</v>
      </c>
      <c r="F59" s="18"/>
    </row>
    <row r="60" customFormat="false" ht="15" hidden="false" customHeight="false" outlineLevel="0" collapsed="false">
      <c r="A60" s="17" t="n">
        <v>56</v>
      </c>
      <c r="B60" s="18" t="s">
        <v>119</v>
      </c>
      <c r="C60" s="18" t="s">
        <v>120</v>
      </c>
      <c r="D60" s="17" t="s">
        <v>45</v>
      </c>
      <c r="E60" s="17" t="s">
        <v>42</v>
      </c>
      <c r="F60" s="18"/>
    </row>
    <row r="61" customFormat="false" ht="15" hidden="false" customHeight="false" outlineLevel="0" collapsed="false">
      <c r="A61" s="17" t="n">
        <v>57</v>
      </c>
      <c r="B61" s="18" t="s">
        <v>121</v>
      </c>
      <c r="C61" s="18" t="s">
        <v>120</v>
      </c>
      <c r="D61" s="17" t="s">
        <v>45</v>
      </c>
      <c r="E61" s="17" t="s">
        <v>42</v>
      </c>
      <c r="F61" s="18"/>
    </row>
    <row r="62" customFormat="false" ht="15" hidden="false" customHeight="false" outlineLevel="0" collapsed="false">
      <c r="A62" s="17" t="n">
        <v>58</v>
      </c>
      <c r="B62" s="18" t="s">
        <v>122</v>
      </c>
      <c r="C62" s="18" t="s">
        <v>108</v>
      </c>
      <c r="D62" s="17" t="s">
        <v>45</v>
      </c>
      <c r="E62" s="17" t="s">
        <v>42</v>
      </c>
      <c r="F62" s="18"/>
    </row>
    <row r="63" customFormat="false" ht="15" hidden="false" customHeight="false" outlineLevel="0" collapsed="false">
      <c r="A63" s="17" t="n">
        <v>59</v>
      </c>
      <c r="B63" s="18" t="s">
        <v>123</v>
      </c>
      <c r="C63" s="18" t="s">
        <v>124</v>
      </c>
      <c r="D63" s="17" t="s">
        <v>41</v>
      </c>
      <c r="E63" s="17" t="s">
        <v>42</v>
      </c>
      <c r="F63" s="18"/>
    </row>
    <row r="64" customFormat="false" ht="15" hidden="false" customHeight="false" outlineLevel="0" collapsed="false">
      <c r="A64" s="17" t="n">
        <v>60</v>
      </c>
      <c r="B64" s="18" t="s">
        <v>125</v>
      </c>
      <c r="C64" s="18" t="s">
        <v>124</v>
      </c>
      <c r="D64" s="17" t="s">
        <v>41</v>
      </c>
      <c r="E64" s="17" t="s">
        <v>42</v>
      </c>
      <c r="F64" s="18"/>
    </row>
    <row r="65" customFormat="false" ht="15" hidden="false" customHeight="false" outlineLevel="0" collapsed="false">
      <c r="A65" s="17" t="n">
        <v>61</v>
      </c>
      <c r="B65" s="18" t="s">
        <v>126</v>
      </c>
      <c r="C65" s="18" t="s">
        <v>124</v>
      </c>
      <c r="D65" s="17" t="s">
        <v>41</v>
      </c>
      <c r="E65" s="17" t="s">
        <v>42</v>
      </c>
      <c r="F65" s="18"/>
    </row>
    <row r="66" customFormat="false" ht="15" hidden="false" customHeight="false" outlineLevel="0" collapsed="false">
      <c r="A66" s="17" t="n">
        <v>62</v>
      </c>
      <c r="B66" s="18" t="s">
        <v>127</v>
      </c>
      <c r="C66" s="18" t="s">
        <v>124</v>
      </c>
      <c r="D66" s="17" t="s">
        <v>84</v>
      </c>
      <c r="E66" s="17" t="s">
        <v>42</v>
      </c>
      <c r="F66" s="18"/>
    </row>
    <row r="67" customFormat="false" ht="15" hidden="false" customHeight="false" outlineLevel="0" collapsed="false">
      <c r="A67" s="17" t="n">
        <v>63</v>
      </c>
      <c r="B67" s="18" t="s">
        <v>128</v>
      </c>
      <c r="C67" s="18" t="s">
        <v>129</v>
      </c>
      <c r="D67" s="17" t="s">
        <v>45</v>
      </c>
      <c r="E67" s="17" t="s">
        <v>42</v>
      </c>
      <c r="F67" s="18"/>
    </row>
    <row r="68" customFormat="false" ht="15" hidden="false" customHeight="false" outlineLevel="0" collapsed="false">
      <c r="A68" s="17" t="n">
        <v>64</v>
      </c>
      <c r="B68" s="18" t="s">
        <v>130</v>
      </c>
      <c r="C68" s="18" t="s">
        <v>124</v>
      </c>
      <c r="D68" s="17" t="s">
        <v>84</v>
      </c>
      <c r="E68" s="17" t="s">
        <v>42</v>
      </c>
      <c r="F68" s="18"/>
    </row>
    <row r="69" customFormat="false" ht="15" hidden="false" customHeight="false" outlineLevel="0" collapsed="false">
      <c r="A69" s="17" t="n">
        <v>65</v>
      </c>
      <c r="B69" s="18" t="s">
        <v>131</v>
      </c>
      <c r="C69" s="18" t="s">
        <v>124</v>
      </c>
      <c r="D69" s="17" t="s">
        <v>41</v>
      </c>
      <c r="E69" s="17" t="s">
        <v>42</v>
      </c>
      <c r="F69" s="18"/>
    </row>
    <row r="70" customFormat="false" ht="15" hidden="false" customHeight="false" outlineLevel="0" collapsed="false">
      <c r="A70" s="17" t="n">
        <v>66</v>
      </c>
      <c r="B70" s="18" t="s">
        <v>132</v>
      </c>
      <c r="C70" s="18" t="s">
        <v>124</v>
      </c>
      <c r="D70" s="17" t="s">
        <v>45</v>
      </c>
      <c r="E70" s="17" t="s">
        <v>42</v>
      </c>
      <c r="F70" s="18"/>
    </row>
    <row r="71" customFormat="false" ht="15" hidden="false" customHeight="false" outlineLevel="0" collapsed="false">
      <c r="A71" s="17" t="n">
        <v>67</v>
      </c>
      <c r="B71" s="18" t="s">
        <v>133</v>
      </c>
      <c r="C71" s="18" t="s">
        <v>134</v>
      </c>
      <c r="D71" s="17" t="s">
        <v>45</v>
      </c>
      <c r="E71" s="17" t="s">
        <v>42</v>
      </c>
      <c r="F71" s="18"/>
    </row>
    <row r="72" customFormat="false" ht="15" hidden="false" customHeight="false" outlineLevel="0" collapsed="false">
      <c r="A72" s="17" t="n">
        <v>68</v>
      </c>
      <c r="B72" s="18" t="s">
        <v>135</v>
      </c>
      <c r="C72" s="18" t="s">
        <v>134</v>
      </c>
      <c r="D72" s="17" t="s">
        <v>45</v>
      </c>
      <c r="E72" s="17" t="s">
        <v>42</v>
      </c>
      <c r="F72" s="18"/>
    </row>
    <row r="73" customFormat="false" ht="15" hidden="false" customHeight="false" outlineLevel="0" collapsed="false">
      <c r="A73" s="17" t="n">
        <v>69</v>
      </c>
      <c r="B73" s="18" t="s">
        <v>136</v>
      </c>
      <c r="C73" s="18" t="s">
        <v>134</v>
      </c>
      <c r="D73" s="17" t="s">
        <v>45</v>
      </c>
      <c r="E73" s="17" t="s">
        <v>42</v>
      </c>
      <c r="F73" s="18"/>
    </row>
    <row r="74" customFormat="false" ht="15" hidden="false" customHeight="false" outlineLevel="0" collapsed="false">
      <c r="A74" s="17" t="n">
        <v>70</v>
      </c>
      <c r="B74" s="18" t="s">
        <v>137</v>
      </c>
      <c r="C74" s="18" t="s">
        <v>138</v>
      </c>
      <c r="D74" s="17" t="s">
        <v>45</v>
      </c>
      <c r="E74" s="17" t="s">
        <v>42</v>
      </c>
      <c r="F74" s="18"/>
    </row>
    <row r="75" customFormat="false" ht="15" hidden="false" customHeight="false" outlineLevel="0" collapsed="false">
      <c r="A75" s="17" t="n">
        <v>71</v>
      </c>
      <c r="B75" s="18" t="s">
        <v>139</v>
      </c>
      <c r="C75" s="18" t="s">
        <v>138</v>
      </c>
      <c r="D75" s="17" t="s">
        <v>45</v>
      </c>
      <c r="E75" s="17" t="s">
        <v>42</v>
      </c>
      <c r="F75" s="18"/>
    </row>
    <row r="76" customFormat="false" ht="15" hidden="false" customHeight="false" outlineLevel="0" collapsed="false">
      <c r="A76" s="17" t="n">
        <v>72</v>
      </c>
      <c r="B76" s="18" t="s">
        <v>140</v>
      </c>
      <c r="C76" s="18" t="s">
        <v>141</v>
      </c>
      <c r="D76" s="17" t="s">
        <v>84</v>
      </c>
      <c r="E76" s="17" t="s">
        <v>42</v>
      </c>
      <c r="F76" s="18"/>
    </row>
    <row r="77" customFormat="false" ht="15" hidden="false" customHeight="false" outlineLevel="0" collapsed="false">
      <c r="A77" s="17" t="n">
        <v>73</v>
      </c>
      <c r="B77" s="18" t="s">
        <v>142</v>
      </c>
      <c r="C77" s="18" t="s">
        <v>143</v>
      </c>
      <c r="D77" s="17" t="s">
        <v>45</v>
      </c>
      <c r="E77" s="17" t="s">
        <v>42</v>
      </c>
      <c r="F77" s="18"/>
    </row>
    <row r="78" customFormat="false" ht="15" hidden="false" customHeight="false" outlineLevel="0" collapsed="false">
      <c r="A78" s="17" t="n">
        <v>74</v>
      </c>
      <c r="B78" s="18" t="s">
        <v>144</v>
      </c>
      <c r="C78" s="18" t="s">
        <v>143</v>
      </c>
      <c r="D78" s="17" t="s">
        <v>84</v>
      </c>
      <c r="E78" s="17" t="s">
        <v>42</v>
      </c>
      <c r="F78" s="18"/>
    </row>
    <row r="79" customFormat="false" ht="15" hidden="false" customHeight="false" outlineLevel="0" collapsed="false">
      <c r="A79" s="17" t="n">
        <v>75</v>
      </c>
      <c r="B79" s="18" t="s">
        <v>145</v>
      </c>
      <c r="C79" s="18" t="s">
        <v>146</v>
      </c>
      <c r="D79" s="17" t="s">
        <v>45</v>
      </c>
      <c r="E79" s="17" t="s">
        <v>42</v>
      </c>
      <c r="F79" s="18"/>
    </row>
    <row r="80" customFormat="false" ht="15" hidden="false" customHeight="false" outlineLevel="0" collapsed="false">
      <c r="A80" s="17" t="n">
        <v>76</v>
      </c>
      <c r="B80" s="18" t="s">
        <v>147</v>
      </c>
      <c r="C80" s="18" t="s">
        <v>146</v>
      </c>
      <c r="D80" s="17" t="s">
        <v>45</v>
      </c>
      <c r="E80" s="17" t="s">
        <v>42</v>
      </c>
      <c r="F80" s="18"/>
    </row>
    <row r="81" customFormat="false" ht="15" hidden="false" customHeight="false" outlineLevel="0" collapsed="false">
      <c r="A81" s="17" t="n">
        <v>77</v>
      </c>
      <c r="B81" s="18" t="s">
        <v>148</v>
      </c>
      <c r="C81" s="18" t="s">
        <v>146</v>
      </c>
      <c r="D81" s="17" t="s">
        <v>45</v>
      </c>
      <c r="E81" s="17" t="s">
        <v>42</v>
      </c>
      <c r="F81" s="18"/>
    </row>
    <row r="83" customFormat="false" ht="15" hidden="false" customHeight="false" outlineLevel="0" collapsed="false">
      <c r="A83" s="3" t="s">
        <v>149</v>
      </c>
      <c r="B83" s="3" t="n">
        <f aca="false">COUNTA(A5:A81)</f>
        <v>77</v>
      </c>
    </row>
    <row r="84" customFormat="false" ht="15" hidden="false" customHeight="false" outlineLevel="0" collapsed="false">
      <c r="A84" s="3" t="s">
        <v>150</v>
      </c>
      <c r="B84" s="3" t="n">
        <f aca="false">COUNTIF(E5:E81,"Done")</f>
        <v>0</v>
      </c>
    </row>
    <row r="85" customFormat="false" ht="15" hidden="false" customHeight="false" outlineLevel="0" collapsed="false">
      <c r="A85" s="3" t="s">
        <v>151</v>
      </c>
      <c r="B85" s="19" t="n">
        <f aca="false">B84/B83</f>
        <v>0</v>
      </c>
    </row>
  </sheetData>
  <mergeCells count="2">
    <mergeCell ref="A1:F1"/>
    <mergeCell ref="A2:F2"/>
  </mergeCells>
  <conditionalFormatting sqref="E5:E8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"Revisit"</formula>
    </cfRule>
  </conditionalFormatting>
  <dataValidations count="1">
    <dataValidation allowBlank="true" errorStyle="stop" operator="between" showDropDown="false" showErrorMessage="false" showInputMessage="false" sqref="E5:E81" type="list">
      <formula1>"To Do,In Progress,Done,Revisit"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152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153</v>
      </c>
      <c r="B2" s="16"/>
      <c r="C2" s="16"/>
      <c r="D2" s="16"/>
      <c r="E2" s="16"/>
      <c r="F2" s="16"/>
    </row>
    <row r="4" customFormat="false" ht="25.5" hidden="false" customHeight="true" outlineLevel="0" collapsed="false">
      <c r="A4" s="5" t="s">
        <v>33</v>
      </c>
      <c r="B4" s="5" t="s">
        <v>154</v>
      </c>
      <c r="C4" s="5" t="s">
        <v>155</v>
      </c>
      <c r="D4" s="5" t="s">
        <v>156</v>
      </c>
      <c r="E4" s="5" t="s">
        <v>37</v>
      </c>
      <c r="F4" s="5" t="s">
        <v>157</v>
      </c>
    </row>
    <row r="5" customFormat="false" ht="30" hidden="false" customHeight="true" outlineLevel="0" collapsed="false">
      <c r="A5" s="17" t="n">
        <v>1</v>
      </c>
      <c r="B5" s="18" t="s">
        <v>158</v>
      </c>
      <c r="C5" s="17" t="s">
        <v>159</v>
      </c>
      <c r="D5" s="18" t="s">
        <v>160</v>
      </c>
      <c r="E5" s="17" t="s">
        <v>42</v>
      </c>
      <c r="F5" s="18"/>
    </row>
    <row r="6" customFormat="false" ht="30" hidden="false" customHeight="true" outlineLevel="0" collapsed="false">
      <c r="A6" s="17" t="n">
        <v>2</v>
      </c>
      <c r="B6" s="18" t="s">
        <v>161</v>
      </c>
      <c r="C6" s="17" t="s">
        <v>162</v>
      </c>
      <c r="D6" s="18" t="s">
        <v>163</v>
      </c>
      <c r="E6" s="17" t="s">
        <v>42</v>
      </c>
      <c r="F6" s="18"/>
    </row>
    <row r="7" customFormat="false" ht="30" hidden="false" customHeight="true" outlineLevel="0" collapsed="false">
      <c r="A7" s="17" t="n">
        <v>3</v>
      </c>
      <c r="B7" s="18" t="s">
        <v>164</v>
      </c>
      <c r="C7" s="17" t="s">
        <v>165</v>
      </c>
      <c r="D7" s="18" t="s">
        <v>166</v>
      </c>
      <c r="E7" s="17" t="s">
        <v>42</v>
      </c>
      <c r="F7" s="18"/>
    </row>
    <row r="8" customFormat="false" ht="30" hidden="false" customHeight="true" outlineLevel="0" collapsed="false">
      <c r="A8" s="17" t="n">
        <v>4</v>
      </c>
      <c r="B8" s="18" t="s">
        <v>167</v>
      </c>
      <c r="C8" s="17" t="s">
        <v>165</v>
      </c>
      <c r="D8" s="18" t="s">
        <v>168</v>
      </c>
      <c r="E8" s="17" t="s">
        <v>42</v>
      </c>
      <c r="F8" s="18"/>
    </row>
    <row r="9" customFormat="false" ht="30" hidden="false" customHeight="true" outlineLevel="0" collapsed="false">
      <c r="A9" s="17" t="n">
        <v>5</v>
      </c>
      <c r="B9" s="18" t="s">
        <v>169</v>
      </c>
      <c r="C9" s="17" t="s">
        <v>165</v>
      </c>
      <c r="D9" s="18" t="s">
        <v>170</v>
      </c>
      <c r="E9" s="17" t="s">
        <v>42</v>
      </c>
      <c r="F9" s="18"/>
    </row>
    <row r="10" customFormat="false" ht="30" hidden="false" customHeight="true" outlineLevel="0" collapsed="false">
      <c r="A10" s="17" t="n">
        <v>6</v>
      </c>
      <c r="B10" s="18" t="s">
        <v>171</v>
      </c>
      <c r="C10" s="17" t="s">
        <v>172</v>
      </c>
      <c r="D10" s="18" t="s">
        <v>173</v>
      </c>
      <c r="E10" s="17" t="s">
        <v>42</v>
      </c>
      <c r="F10" s="18"/>
    </row>
    <row r="11" customFormat="false" ht="30" hidden="false" customHeight="true" outlineLevel="0" collapsed="false">
      <c r="A11" s="17" t="n">
        <v>7</v>
      </c>
      <c r="B11" s="18" t="s">
        <v>174</v>
      </c>
      <c r="C11" s="17" t="s">
        <v>172</v>
      </c>
      <c r="D11" s="18" t="s">
        <v>173</v>
      </c>
      <c r="E11" s="17" t="s">
        <v>42</v>
      </c>
      <c r="F11" s="18"/>
    </row>
    <row r="12" customFormat="false" ht="30" hidden="false" customHeight="true" outlineLevel="0" collapsed="false">
      <c r="A12" s="17" t="n">
        <v>8</v>
      </c>
      <c r="B12" s="18" t="s">
        <v>175</v>
      </c>
      <c r="C12" s="17" t="s">
        <v>176</v>
      </c>
      <c r="D12" s="18" t="s">
        <v>177</v>
      </c>
      <c r="E12" s="17" t="s">
        <v>42</v>
      </c>
      <c r="F12" s="18"/>
    </row>
    <row r="13" customFormat="false" ht="30" hidden="false" customHeight="true" outlineLevel="0" collapsed="false">
      <c r="A13" s="17" t="n">
        <v>9</v>
      </c>
      <c r="B13" s="18" t="s">
        <v>178</v>
      </c>
      <c r="C13" s="17" t="s">
        <v>179</v>
      </c>
      <c r="D13" s="18" t="s">
        <v>180</v>
      </c>
      <c r="E13" s="17" t="s">
        <v>42</v>
      </c>
      <c r="F13" s="18"/>
    </row>
    <row r="14" customFormat="false" ht="30" hidden="false" customHeight="true" outlineLevel="0" collapsed="false">
      <c r="A14" s="17" t="n">
        <v>10</v>
      </c>
      <c r="B14" s="18" t="s">
        <v>181</v>
      </c>
      <c r="C14" s="17" t="s">
        <v>182</v>
      </c>
      <c r="D14" s="18" t="s">
        <v>183</v>
      </c>
      <c r="E14" s="17" t="s">
        <v>42</v>
      </c>
      <c r="F14" s="18"/>
    </row>
    <row r="15" customFormat="false" ht="30" hidden="false" customHeight="true" outlineLevel="0" collapsed="false">
      <c r="A15" s="17" t="n">
        <v>11</v>
      </c>
      <c r="B15" s="18" t="s">
        <v>184</v>
      </c>
      <c r="C15" s="17" t="s">
        <v>182</v>
      </c>
      <c r="D15" s="18" t="s">
        <v>185</v>
      </c>
      <c r="E15" s="17" t="s">
        <v>42</v>
      </c>
      <c r="F15" s="18"/>
    </row>
    <row r="16" customFormat="false" ht="30" hidden="false" customHeight="true" outlineLevel="0" collapsed="false">
      <c r="A16" s="17" t="n">
        <v>12</v>
      </c>
      <c r="B16" s="18" t="s">
        <v>186</v>
      </c>
      <c r="C16" s="17" t="s">
        <v>162</v>
      </c>
      <c r="D16" s="18" t="s">
        <v>187</v>
      </c>
      <c r="E16" s="17" t="s">
        <v>42</v>
      </c>
      <c r="F16" s="18"/>
    </row>
    <row r="17" customFormat="false" ht="30" hidden="false" customHeight="true" outlineLevel="0" collapsed="false">
      <c r="A17" s="17" t="n">
        <v>13</v>
      </c>
      <c r="B17" s="18" t="s">
        <v>188</v>
      </c>
      <c r="C17" s="17" t="s">
        <v>189</v>
      </c>
      <c r="D17" s="18" t="s">
        <v>190</v>
      </c>
      <c r="E17" s="17" t="s">
        <v>42</v>
      </c>
      <c r="F17" s="18"/>
    </row>
    <row r="18" customFormat="false" ht="30" hidden="false" customHeight="true" outlineLevel="0" collapsed="false">
      <c r="A18" s="17" t="n">
        <v>14</v>
      </c>
      <c r="B18" s="18" t="s">
        <v>191</v>
      </c>
      <c r="C18" s="17" t="s">
        <v>192</v>
      </c>
      <c r="D18" s="18" t="s">
        <v>193</v>
      </c>
      <c r="E18" s="17" t="s">
        <v>42</v>
      </c>
      <c r="F18" s="18"/>
    </row>
    <row r="19" customFormat="false" ht="30" hidden="false" customHeight="true" outlineLevel="0" collapsed="false">
      <c r="A19" s="17" t="n">
        <v>15</v>
      </c>
      <c r="B19" s="18" t="s">
        <v>194</v>
      </c>
      <c r="C19" s="17" t="s">
        <v>195</v>
      </c>
      <c r="D19" s="18" t="s">
        <v>196</v>
      </c>
      <c r="E19" s="17" t="s">
        <v>42</v>
      </c>
      <c r="F19" s="18"/>
    </row>
    <row r="20" customFormat="false" ht="30" hidden="false" customHeight="true" outlineLevel="0" collapsed="false">
      <c r="A20" s="17" t="n">
        <v>16</v>
      </c>
      <c r="B20" s="18" t="s">
        <v>197</v>
      </c>
      <c r="C20" s="17" t="s">
        <v>198</v>
      </c>
      <c r="D20" s="18" t="s">
        <v>199</v>
      </c>
      <c r="E20" s="17" t="s">
        <v>42</v>
      </c>
      <c r="F20" s="18"/>
    </row>
    <row r="21" customFormat="false" ht="30" hidden="false" customHeight="true" outlineLevel="0" collapsed="false">
      <c r="A21" s="17" t="n">
        <v>17</v>
      </c>
      <c r="B21" s="18" t="s">
        <v>200</v>
      </c>
      <c r="C21" s="17" t="s">
        <v>198</v>
      </c>
      <c r="D21" s="18" t="s">
        <v>201</v>
      </c>
      <c r="E21" s="17" t="s">
        <v>42</v>
      </c>
      <c r="F21" s="18"/>
    </row>
  </sheetData>
  <mergeCells count="2">
    <mergeCell ref="A1:F1"/>
    <mergeCell ref="A2:F2"/>
  </mergeCells>
  <conditionalFormatting sqref="E5:E2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E5:E21" type="list">
      <formula1>"To Do,In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202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203</v>
      </c>
      <c r="B2" s="16"/>
      <c r="C2" s="16"/>
      <c r="D2" s="16"/>
      <c r="E2" s="16"/>
      <c r="F2" s="16"/>
    </row>
    <row r="4" customFormat="false" ht="25.5" hidden="false" customHeight="true" outlineLevel="0" collapsed="false">
      <c r="A4" s="5" t="s">
        <v>33</v>
      </c>
      <c r="B4" s="5" t="s">
        <v>204</v>
      </c>
      <c r="C4" s="5" t="s">
        <v>205</v>
      </c>
      <c r="D4" s="5" t="s">
        <v>206</v>
      </c>
      <c r="E4" s="5" t="s">
        <v>37</v>
      </c>
      <c r="F4" s="5" t="s">
        <v>157</v>
      </c>
    </row>
    <row r="5" customFormat="false" ht="15" hidden="false" customHeight="false" outlineLevel="0" collapsed="false">
      <c r="A5" s="17" t="n">
        <v>1</v>
      </c>
      <c r="B5" s="18" t="s">
        <v>207</v>
      </c>
      <c r="C5" s="18" t="s">
        <v>208</v>
      </c>
      <c r="D5" s="17" t="s">
        <v>209</v>
      </c>
      <c r="E5" s="17" t="s">
        <v>42</v>
      </c>
      <c r="F5" s="18"/>
    </row>
    <row r="6" customFormat="false" ht="15" hidden="false" customHeight="false" outlineLevel="0" collapsed="false">
      <c r="A6" s="17" t="n">
        <v>2</v>
      </c>
      <c r="B6" s="18" t="s">
        <v>210</v>
      </c>
      <c r="C6" s="18" t="s">
        <v>211</v>
      </c>
      <c r="D6" s="17" t="s">
        <v>209</v>
      </c>
      <c r="E6" s="17" t="s">
        <v>42</v>
      </c>
      <c r="F6" s="18"/>
    </row>
    <row r="7" customFormat="false" ht="15" hidden="false" customHeight="false" outlineLevel="0" collapsed="false">
      <c r="A7" s="17" t="n">
        <v>3</v>
      </c>
      <c r="B7" s="18" t="s">
        <v>212</v>
      </c>
      <c r="C7" s="18" t="s">
        <v>213</v>
      </c>
      <c r="D7" s="17" t="s">
        <v>214</v>
      </c>
      <c r="E7" s="17" t="s">
        <v>42</v>
      </c>
      <c r="F7" s="18"/>
    </row>
    <row r="8" customFormat="false" ht="15" hidden="false" customHeight="false" outlineLevel="0" collapsed="false">
      <c r="A8" s="17" t="n">
        <v>4</v>
      </c>
      <c r="B8" s="18" t="s">
        <v>215</v>
      </c>
      <c r="C8" s="18" t="s">
        <v>216</v>
      </c>
      <c r="D8" s="17" t="s">
        <v>214</v>
      </c>
      <c r="E8" s="17" t="s">
        <v>42</v>
      </c>
      <c r="F8" s="18"/>
    </row>
    <row r="9" customFormat="false" ht="15" hidden="false" customHeight="false" outlineLevel="0" collapsed="false">
      <c r="A9" s="17" t="n">
        <v>5</v>
      </c>
      <c r="B9" s="18" t="s">
        <v>217</v>
      </c>
      <c r="C9" s="18" t="s">
        <v>218</v>
      </c>
      <c r="D9" s="17" t="s">
        <v>214</v>
      </c>
      <c r="E9" s="17" t="s">
        <v>42</v>
      </c>
      <c r="F9" s="18"/>
    </row>
    <row r="10" customFormat="false" ht="15" hidden="false" customHeight="false" outlineLevel="0" collapsed="false">
      <c r="A10" s="17" t="n">
        <v>6</v>
      </c>
      <c r="B10" s="18" t="s">
        <v>219</v>
      </c>
      <c r="C10" s="18" t="s">
        <v>220</v>
      </c>
      <c r="D10" s="17" t="s">
        <v>214</v>
      </c>
      <c r="E10" s="17" t="s">
        <v>42</v>
      </c>
      <c r="F10" s="18"/>
    </row>
    <row r="11" customFormat="false" ht="15" hidden="false" customHeight="false" outlineLevel="0" collapsed="false">
      <c r="A11" s="17" t="n">
        <v>7</v>
      </c>
      <c r="B11" s="18" t="s">
        <v>221</v>
      </c>
      <c r="C11" s="18" t="s">
        <v>222</v>
      </c>
      <c r="D11" s="17" t="s">
        <v>214</v>
      </c>
      <c r="E11" s="17" t="s">
        <v>42</v>
      </c>
      <c r="F11" s="18"/>
    </row>
    <row r="12" customFormat="false" ht="15" hidden="false" customHeight="false" outlineLevel="0" collapsed="false">
      <c r="A12" s="17" t="n">
        <v>8</v>
      </c>
      <c r="B12" s="18" t="s">
        <v>223</v>
      </c>
      <c r="C12" s="18" t="s">
        <v>224</v>
      </c>
      <c r="D12" s="17" t="s">
        <v>214</v>
      </c>
      <c r="E12" s="17" t="s">
        <v>42</v>
      </c>
      <c r="F12" s="18"/>
    </row>
    <row r="13" customFormat="false" ht="15" hidden="false" customHeight="false" outlineLevel="0" collapsed="false">
      <c r="A13" s="17" t="n">
        <v>9</v>
      </c>
      <c r="B13" s="18" t="s">
        <v>225</v>
      </c>
      <c r="C13" s="18" t="s">
        <v>226</v>
      </c>
      <c r="D13" s="17" t="s">
        <v>214</v>
      </c>
      <c r="E13" s="17" t="s">
        <v>42</v>
      </c>
      <c r="F13" s="18"/>
    </row>
    <row r="14" customFormat="false" ht="23.85" hidden="false" customHeight="false" outlineLevel="0" collapsed="false">
      <c r="A14" s="17" t="n">
        <v>10</v>
      </c>
      <c r="B14" s="18" t="s">
        <v>227</v>
      </c>
      <c r="C14" s="18" t="s">
        <v>228</v>
      </c>
      <c r="D14" s="17" t="s">
        <v>229</v>
      </c>
      <c r="E14" s="17" t="s">
        <v>42</v>
      </c>
      <c r="F14" s="18"/>
    </row>
  </sheetData>
  <mergeCells count="2">
    <mergeCell ref="A1:F1"/>
    <mergeCell ref="A2:F2"/>
  </mergeCells>
  <conditionalFormatting sqref="E5:E1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"Revisit"</formula>
    </cfRule>
  </conditionalFormatting>
  <dataValidations count="1">
    <dataValidation allowBlank="true" errorStyle="stop" operator="between" showDropDown="false" showErrorMessage="false" showInputMessage="false" sqref="E5:E14" type="list">
      <formula1>"To Do,In Progress,Done,Revisit"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230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231</v>
      </c>
      <c r="B2" s="16"/>
      <c r="C2" s="16"/>
      <c r="D2" s="16"/>
      <c r="E2" s="16"/>
      <c r="F2" s="16"/>
    </row>
    <row r="4" customFormat="false" ht="25.5" hidden="false" customHeight="true" outlineLevel="0" collapsed="false">
      <c r="A4" s="5" t="s">
        <v>33</v>
      </c>
      <c r="B4" s="5" t="s">
        <v>232</v>
      </c>
      <c r="C4" s="5" t="s">
        <v>233</v>
      </c>
      <c r="D4" s="5" t="s">
        <v>234</v>
      </c>
      <c r="E4" s="5" t="s">
        <v>37</v>
      </c>
      <c r="F4" s="5" t="s">
        <v>157</v>
      </c>
    </row>
    <row r="5" customFormat="false" ht="23.85" hidden="false" customHeight="false" outlineLevel="0" collapsed="false">
      <c r="A5" s="17" t="n">
        <v>1</v>
      </c>
      <c r="B5" s="18" t="s">
        <v>235</v>
      </c>
      <c r="C5" s="17" t="s">
        <v>236</v>
      </c>
      <c r="D5" s="17" t="s">
        <v>237</v>
      </c>
      <c r="E5" s="17" t="s">
        <v>42</v>
      </c>
      <c r="F5" s="18"/>
    </row>
    <row r="6" customFormat="false" ht="15" hidden="false" customHeight="false" outlineLevel="0" collapsed="false">
      <c r="A6" s="17" t="n">
        <v>2</v>
      </c>
      <c r="B6" s="18" t="s">
        <v>238</v>
      </c>
      <c r="C6" s="17" t="s">
        <v>236</v>
      </c>
      <c r="D6" s="17" t="s">
        <v>237</v>
      </c>
      <c r="E6" s="17" t="s">
        <v>42</v>
      </c>
      <c r="F6" s="18"/>
    </row>
    <row r="7" customFormat="false" ht="15" hidden="false" customHeight="false" outlineLevel="0" collapsed="false">
      <c r="A7" s="17" t="n">
        <v>3</v>
      </c>
      <c r="B7" s="18" t="s">
        <v>239</v>
      </c>
      <c r="C7" s="17" t="s">
        <v>236</v>
      </c>
      <c r="D7" s="17" t="s">
        <v>237</v>
      </c>
      <c r="E7" s="17" t="s">
        <v>42</v>
      </c>
      <c r="F7" s="18"/>
    </row>
    <row r="8" customFormat="false" ht="15" hidden="false" customHeight="false" outlineLevel="0" collapsed="false">
      <c r="A8" s="17" t="n">
        <v>4</v>
      </c>
      <c r="B8" s="18" t="s">
        <v>240</v>
      </c>
      <c r="C8" s="17" t="s">
        <v>236</v>
      </c>
      <c r="D8" s="17" t="s">
        <v>237</v>
      </c>
      <c r="E8" s="17" t="s">
        <v>42</v>
      </c>
      <c r="F8" s="18"/>
    </row>
    <row r="9" customFormat="false" ht="15" hidden="false" customHeight="false" outlineLevel="0" collapsed="false">
      <c r="A9" s="17" t="n">
        <v>5</v>
      </c>
      <c r="B9" s="18" t="s">
        <v>241</v>
      </c>
      <c r="C9" s="17" t="s">
        <v>242</v>
      </c>
      <c r="D9" s="17" t="s">
        <v>237</v>
      </c>
      <c r="E9" s="17" t="s">
        <v>42</v>
      </c>
      <c r="F9" s="18"/>
    </row>
    <row r="10" customFormat="false" ht="15" hidden="false" customHeight="false" outlineLevel="0" collapsed="false">
      <c r="A10" s="17" t="n">
        <v>6</v>
      </c>
      <c r="B10" s="18" t="s">
        <v>243</v>
      </c>
      <c r="C10" s="17" t="s">
        <v>242</v>
      </c>
      <c r="D10" s="17" t="s">
        <v>237</v>
      </c>
      <c r="E10" s="17" t="s">
        <v>42</v>
      </c>
      <c r="F10" s="18"/>
    </row>
    <row r="11" customFormat="false" ht="15" hidden="false" customHeight="false" outlineLevel="0" collapsed="false">
      <c r="A11" s="17" t="n">
        <v>7</v>
      </c>
      <c r="B11" s="18" t="s">
        <v>244</v>
      </c>
      <c r="C11" s="17" t="s">
        <v>242</v>
      </c>
      <c r="D11" s="17" t="s">
        <v>237</v>
      </c>
      <c r="E11" s="17" t="s">
        <v>42</v>
      </c>
      <c r="F11" s="18"/>
    </row>
    <row r="12" customFormat="false" ht="15" hidden="false" customHeight="false" outlineLevel="0" collapsed="false">
      <c r="A12" s="17" t="n">
        <v>8</v>
      </c>
      <c r="B12" s="18" t="s">
        <v>245</v>
      </c>
      <c r="C12" s="17" t="s">
        <v>242</v>
      </c>
      <c r="D12" s="17" t="s">
        <v>237</v>
      </c>
      <c r="E12" s="17" t="s">
        <v>42</v>
      </c>
      <c r="F12" s="18"/>
    </row>
    <row r="13" customFormat="false" ht="15" hidden="false" customHeight="false" outlineLevel="0" collapsed="false">
      <c r="A13" s="17" t="n">
        <v>9</v>
      </c>
      <c r="B13" s="18" t="s">
        <v>246</v>
      </c>
      <c r="C13" s="17" t="s">
        <v>242</v>
      </c>
      <c r="D13" s="17" t="s">
        <v>237</v>
      </c>
      <c r="E13" s="17" t="s">
        <v>42</v>
      </c>
      <c r="F13" s="18"/>
    </row>
    <row r="14" customFormat="false" ht="15" hidden="false" customHeight="false" outlineLevel="0" collapsed="false">
      <c r="A14" s="17" t="n">
        <v>10</v>
      </c>
      <c r="B14" s="18" t="s">
        <v>247</v>
      </c>
      <c r="C14" s="17" t="s">
        <v>242</v>
      </c>
      <c r="D14" s="17" t="s">
        <v>237</v>
      </c>
      <c r="E14" s="17" t="s">
        <v>42</v>
      </c>
      <c r="F14" s="18"/>
    </row>
    <row r="15" customFormat="false" ht="15" hidden="false" customHeight="false" outlineLevel="0" collapsed="false">
      <c r="A15" s="17" t="n">
        <v>11</v>
      </c>
      <c r="B15" s="18" t="s">
        <v>248</v>
      </c>
      <c r="C15" s="17" t="s">
        <v>249</v>
      </c>
      <c r="D15" s="17" t="s">
        <v>237</v>
      </c>
      <c r="E15" s="17" t="s">
        <v>42</v>
      </c>
      <c r="F15" s="18"/>
    </row>
    <row r="16" customFormat="false" ht="15" hidden="false" customHeight="false" outlineLevel="0" collapsed="false">
      <c r="A16" s="17" t="n">
        <v>12</v>
      </c>
      <c r="B16" s="18" t="s">
        <v>250</v>
      </c>
      <c r="C16" s="17" t="s">
        <v>249</v>
      </c>
      <c r="D16" s="17" t="s">
        <v>237</v>
      </c>
      <c r="E16" s="17" t="s">
        <v>42</v>
      </c>
      <c r="F16" s="18"/>
    </row>
    <row r="17" customFormat="false" ht="15" hidden="false" customHeight="false" outlineLevel="0" collapsed="false">
      <c r="A17" s="17" t="n">
        <v>13</v>
      </c>
      <c r="B17" s="18" t="s">
        <v>251</v>
      </c>
      <c r="C17" s="17" t="s">
        <v>249</v>
      </c>
      <c r="D17" s="17" t="s">
        <v>237</v>
      </c>
      <c r="E17" s="17" t="s">
        <v>42</v>
      </c>
      <c r="F17" s="18"/>
    </row>
    <row r="18" customFormat="false" ht="15" hidden="false" customHeight="false" outlineLevel="0" collapsed="false">
      <c r="A18" s="17" t="n">
        <v>14</v>
      </c>
      <c r="B18" s="18" t="s">
        <v>252</v>
      </c>
      <c r="C18" s="17" t="s">
        <v>249</v>
      </c>
      <c r="D18" s="17" t="s">
        <v>237</v>
      </c>
      <c r="E18" s="17" t="s">
        <v>42</v>
      </c>
      <c r="F18" s="18"/>
    </row>
    <row r="19" customFormat="false" ht="15" hidden="false" customHeight="false" outlineLevel="0" collapsed="false">
      <c r="A19" s="17" t="n">
        <v>15</v>
      </c>
      <c r="B19" s="18" t="s">
        <v>253</v>
      </c>
      <c r="C19" s="17" t="s">
        <v>249</v>
      </c>
      <c r="D19" s="17" t="s">
        <v>237</v>
      </c>
      <c r="E19" s="17" t="s">
        <v>42</v>
      </c>
      <c r="F19" s="18"/>
    </row>
    <row r="20" customFormat="false" ht="15" hidden="false" customHeight="false" outlineLevel="0" collapsed="false">
      <c r="A20" s="17" t="n">
        <v>16</v>
      </c>
      <c r="B20" s="18" t="s">
        <v>254</v>
      </c>
      <c r="C20" s="17" t="s">
        <v>255</v>
      </c>
      <c r="D20" s="17" t="s">
        <v>237</v>
      </c>
      <c r="E20" s="17" t="s">
        <v>42</v>
      </c>
      <c r="F20" s="18"/>
    </row>
    <row r="21" customFormat="false" ht="15" hidden="false" customHeight="false" outlineLevel="0" collapsed="false">
      <c r="A21" s="17" t="n">
        <v>17</v>
      </c>
      <c r="B21" s="18" t="s">
        <v>256</v>
      </c>
      <c r="C21" s="17" t="s">
        <v>255</v>
      </c>
      <c r="D21" s="17" t="s">
        <v>237</v>
      </c>
      <c r="E21" s="17" t="s">
        <v>42</v>
      </c>
      <c r="F21" s="18"/>
    </row>
    <row r="22" customFormat="false" ht="15" hidden="false" customHeight="false" outlineLevel="0" collapsed="false">
      <c r="A22" s="17" t="n">
        <v>18</v>
      </c>
      <c r="B22" s="18" t="s">
        <v>257</v>
      </c>
      <c r="C22" s="17" t="s">
        <v>255</v>
      </c>
      <c r="D22" s="17" t="s">
        <v>237</v>
      </c>
      <c r="E22" s="17" t="s">
        <v>42</v>
      </c>
      <c r="F22" s="18"/>
    </row>
    <row r="23" customFormat="false" ht="15" hidden="false" customHeight="false" outlineLevel="0" collapsed="false">
      <c r="A23" s="17" t="n">
        <v>19</v>
      </c>
      <c r="B23" s="18" t="s">
        <v>258</v>
      </c>
      <c r="C23" s="17" t="s">
        <v>255</v>
      </c>
      <c r="D23" s="17" t="s">
        <v>237</v>
      </c>
      <c r="E23" s="17" t="s">
        <v>42</v>
      </c>
      <c r="F23" s="18"/>
    </row>
    <row r="24" customFormat="false" ht="15" hidden="false" customHeight="false" outlineLevel="0" collapsed="false">
      <c r="A24" s="17" t="n">
        <v>20</v>
      </c>
      <c r="B24" s="18" t="s">
        <v>259</v>
      </c>
      <c r="C24" s="17" t="s">
        <v>255</v>
      </c>
      <c r="D24" s="17" t="s">
        <v>237</v>
      </c>
      <c r="E24" s="17" t="s">
        <v>42</v>
      </c>
      <c r="F24" s="18"/>
    </row>
    <row r="25" customFormat="false" ht="15" hidden="false" customHeight="false" outlineLevel="0" collapsed="false">
      <c r="A25" s="17" t="n">
        <v>21</v>
      </c>
      <c r="B25" s="18" t="s">
        <v>260</v>
      </c>
      <c r="C25" s="17" t="s">
        <v>255</v>
      </c>
      <c r="D25" s="17" t="s">
        <v>237</v>
      </c>
      <c r="E25" s="17" t="s">
        <v>42</v>
      </c>
      <c r="F25" s="18"/>
    </row>
    <row r="26" customFormat="false" ht="15" hidden="false" customHeight="false" outlineLevel="0" collapsed="false">
      <c r="A26" s="17" t="n">
        <v>22</v>
      </c>
      <c r="B26" s="18" t="s">
        <v>261</v>
      </c>
      <c r="C26" s="17" t="s">
        <v>255</v>
      </c>
      <c r="D26" s="17" t="s">
        <v>237</v>
      </c>
      <c r="E26" s="17" t="s">
        <v>42</v>
      </c>
      <c r="F26" s="18"/>
    </row>
    <row r="27" customFormat="false" ht="15" hidden="false" customHeight="false" outlineLevel="0" collapsed="false">
      <c r="A27" s="17" t="n">
        <v>23</v>
      </c>
      <c r="B27" s="18" t="s">
        <v>262</v>
      </c>
      <c r="C27" s="17" t="s">
        <v>255</v>
      </c>
      <c r="D27" s="17" t="s">
        <v>263</v>
      </c>
      <c r="E27" s="17" t="s">
        <v>42</v>
      </c>
      <c r="F27" s="18"/>
    </row>
    <row r="28" customFormat="false" ht="15" hidden="false" customHeight="false" outlineLevel="0" collapsed="false">
      <c r="A28" s="17" t="n">
        <v>24</v>
      </c>
      <c r="B28" s="18" t="s">
        <v>264</v>
      </c>
      <c r="C28" s="17" t="s">
        <v>236</v>
      </c>
      <c r="D28" s="17" t="s">
        <v>263</v>
      </c>
      <c r="E28" s="17" t="s">
        <v>42</v>
      </c>
      <c r="F28" s="18"/>
    </row>
    <row r="29" customFormat="false" ht="15" hidden="false" customHeight="false" outlineLevel="0" collapsed="false">
      <c r="A29" s="17" t="n">
        <v>25</v>
      </c>
      <c r="B29" s="18" t="s">
        <v>265</v>
      </c>
      <c r="C29" s="17" t="s">
        <v>249</v>
      </c>
      <c r="D29" s="17" t="s">
        <v>263</v>
      </c>
      <c r="E29" s="17" t="s">
        <v>42</v>
      </c>
      <c r="F29" s="18"/>
    </row>
    <row r="30" customFormat="false" ht="15" hidden="false" customHeight="false" outlineLevel="0" collapsed="false">
      <c r="A30" s="13" t="s">
        <v>266</v>
      </c>
      <c r="B30" s="13"/>
      <c r="C30" s="13"/>
      <c r="D30" s="13"/>
      <c r="E30" s="13"/>
      <c r="F30" s="13"/>
    </row>
    <row r="31" customFormat="false" ht="15" hidden="false" customHeight="false" outlineLevel="0" collapsed="false">
      <c r="A31" s="17" t="n">
        <v>1</v>
      </c>
      <c r="B31" s="18" t="s">
        <v>267</v>
      </c>
      <c r="C31" s="17" t="s">
        <v>268</v>
      </c>
      <c r="D31" s="17" t="s">
        <v>269</v>
      </c>
      <c r="E31" s="17" t="s">
        <v>42</v>
      </c>
      <c r="F31" s="18"/>
    </row>
    <row r="32" customFormat="false" ht="15" hidden="false" customHeight="false" outlineLevel="0" collapsed="false">
      <c r="A32" s="17" t="n">
        <v>2</v>
      </c>
      <c r="B32" s="18" t="s">
        <v>270</v>
      </c>
      <c r="C32" s="17" t="s">
        <v>268</v>
      </c>
      <c r="D32" s="17" t="s">
        <v>269</v>
      </c>
      <c r="E32" s="17" t="s">
        <v>42</v>
      </c>
      <c r="F32" s="18"/>
    </row>
    <row r="33" customFormat="false" ht="15" hidden="false" customHeight="false" outlineLevel="0" collapsed="false">
      <c r="A33" s="17" t="n">
        <v>3</v>
      </c>
      <c r="B33" s="18" t="s">
        <v>271</v>
      </c>
      <c r="C33" s="17" t="s">
        <v>268</v>
      </c>
      <c r="D33" s="17" t="s">
        <v>269</v>
      </c>
      <c r="E33" s="17" t="s">
        <v>42</v>
      </c>
      <c r="F33" s="18"/>
    </row>
    <row r="34" customFormat="false" ht="15" hidden="false" customHeight="false" outlineLevel="0" collapsed="false">
      <c r="A34" s="17" t="n">
        <v>4</v>
      </c>
      <c r="B34" s="18" t="s">
        <v>272</v>
      </c>
      <c r="C34" s="17" t="s">
        <v>268</v>
      </c>
      <c r="D34" s="17" t="s">
        <v>269</v>
      </c>
      <c r="E34" s="17" t="s">
        <v>42</v>
      </c>
      <c r="F34" s="18"/>
    </row>
    <row r="35" customFormat="false" ht="15" hidden="false" customHeight="false" outlineLevel="0" collapsed="false">
      <c r="A35" s="17" t="n">
        <v>5</v>
      </c>
      <c r="B35" s="18" t="s">
        <v>273</v>
      </c>
      <c r="C35" s="17" t="s">
        <v>268</v>
      </c>
      <c r="D35" s="17" t="s">
        <v>269</v>
      </c>
      <c r="E35" s="17" t="s">
        <v>42</v>
      </c>
      <c r="F35" s="18"/>
    </row>
    <row r="36" customFormat="false" ht="15" hidden="false" customHeight="false" outlineLevel="0" collapsed="false">
      <c r="A36" s="17" t="n">
        <v>6</v>
      </c>
      <c r="B36" s="18" t="s">
        <v>274</v>
      </c>
      <c r="C36" s="17" t="s">
        <v>268</v>
      </c>
      <c r="D36" s="17" t="s">
        <v>275</v>
      </c>
      <c r="E36" s="17" t="s">
        <v>42</v>
      </c>
      <c r="F36" s="18"/>
    </row>
    <row r="37" customFormat="false" ht="15" hidden="false" customHeight="false" outlineLevel="0" collapsed="false">
      <c r="A37" s="17" t="n">
        <v>7</v>
      </c>
      <c r="B37" s="18" t="s">
        <v>276</v>
      </c>
      <c r="C37" s="17" t="s">
        <v>268</v>
      </c>
      <c r="D37" s="17" t="s">
        <v>269</v>
      </c>
      <c r="E37" s="17" t="s">
        <v>42</v>
      </c>
      <c r="F37" s="18"/>
    </row>
    <row r="38" customFormat="false" ht="15" hidden="false" customHeight="false" outlineLevel="0" collapsed="false">
      <c r="A38" s="17" t="n">
        <v>8</v>
      </c>
      <c r="B38" s="18" t="s">
        <v>277</v>
      </c>
      <c r="C38" s="17" t="s">
        <v>268</v>
      </c>
      <c r="D38" s="17" t="s">
        <v>269</v>
      </c>
      <c r="E38" s="17" t="s">
        <v>42</v>
      </c>
      <c r="F38" s="18"/>
    </row>
    <row r="39" customFormat="false" ht="15" hidden="false" customHeight="false" outlineLevel="0" collapsed="false">
      <c r="A39" s="17" t="n">
        <v>9</v>
      </c>
      <c r="B39" s="18" t="s">
        <v>278</v>
      </c>
      <c r="C39" s="17" t="s">
        <v>268</v>
      </c>
      <c r="D39" s="17" t="s">
        <v>269</v>
      </c>
      <c r="E39" s="17" t="s">
        <v>42</v>
      </c>
      <c r="F39" s="18"/>
    </row>
    <row r="40" customFormat="false" ht="15" hidden="false" customHeight="false" outlineLevel="0" collapsed="false">
      <c r="A40" s="17" t="n">
        <v>10</v>
      </c>
      <c r="B40" s="18" t="s">
        <v>279</v>
      </c>
      <c r="C40" s="17" t="s">
        <v>268</v>
      </c>
      <c r="D40" s="17" t="s">
        <v>269</v>
      </c>
      <c r="E40" s="17" t="s">
        <v>42</v>
      </c>
      <c r="F40" s="18"/>
    </row>
  </sheetData>
  <mergeCells count="3">
    <mergeCell ref="A1:F1"/>
    <mergeCell ref="A2:F2"/>
    <mergeCell ref="A30:F30"/>
  </mergeCells>
  <conditionalFormatting sqref="E5:E4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"Revisit"</formula>
    </cfRule>
  </conditionalFormatting>
  <dataValidations count="1">
    <dataValidation allowBlank="true" errorStyle="stop" operator="between" showDropDown="false" showErrorMessage="false" showInputMessage="false" sqref="E5:E40" type="list">
      <formula1>"To Do,In Progress,Done,Revisit"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2"/>
  </cols>
  <sheetData>
    <row r="1" customFormat="false" ht="19.7" hidden="false" customHeight="false" outlineLevel="0" collapsed="false">
      <c r="A1" s="1" t="s">
        <v>280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281</v>
      </c>
      <c r="B2" s="16"/>
      <c r="C2" s="16"/>
      <c r="D2" s="16"/>
      <c r="E2" s="16"/>
      <c r="F2" s="16"/>
    </row>
    <row r="4" customFormat="false" ht="25.5" hidden="false" customHeight="true" outlineLevel="0" collapsed="false">
      <c r="A4" s="5" t="s">
        <v>33</v>
      </c>
      <c r="B4" s="5" t="s">
        <v>282</v>
      </c>
      <c r="C4" s="5" t="s">
        <v>283</v>
      </c>
      <c r="D4" s="5" t="s">
        <v>37</v>
      </c>
      <c r="E4" s="5" t="s">
        <v>284</v>
      </c>
    </row>
    <row r="5" customFormat="false" ht="25.5" hidden="false" customHeight="true" outlineLevel="0" collapsed="false">
      <c r="A5" s="17" t="n">
        <v>1</v>
      </c>
      <c r="B5" s="18" t="s">
        <v>285</v>
      </c>
      <c r="C5" s="17" t="s">
        <v>286</v>
      </c>
      <c r="D5" s="17" t="s">
        <v>42</v>
      </c>
      <c r="E5" s="18"/>
    </row>
    <row r="6" customFormat="false" ht="25.5" hidden="false" customHeight="true" outlineLevel="0" collapsed="false">
      <c r="A6" s="17" t="n">
        <v>2</v>
      </c>
      <c r="B6" s="18" t="s">
        <v>287</v>
      </c>
      <c r="C6" s="17" t="s">
        <v>286</v>
      </c>
      <c r="D6" s="17" t="s">
        <v>42</v>
      </c>
      <c r="E6" s="18"/>
    </row>
    <row r="7" customFormat="false" ht="25.5" hidden="false" customHeight="true" outlineLevel="0" collapsed="false">
      <c r="A7" s="17" t="n">
        <v>3</v>
      </c>
      <c r="B7" s="18" t="s">
        <v>288</v>
      </c>
      <c r="C7" s="17" t="s">
        <v>286</v>
      </c>
      <c r="D7" s="17" t="s">
        <v>42</v>
      </c>
      <c r="E7" s="18"/>
    </row>
    <row r="8" customFormat="false" ht="25.5" hidden="false" customHeight="true" outlineLevel="0" collapsed="false">
      <c r="A8" s="17" t="n">
        <v>4</v>
      </c>
      <c r="B8" s="18" t="s">
        <v>289</v>
      </c>
      <c r="C8" s="17" t="s">
        <v>286</v>
      </c>
      <c r="D8" s="17" t="s">
        <v>42</v>
      </c>
      <c r="E8" s="18"/>
    </row>
    <row r="9" customFormat="false" ht="25.5" hidden="false" customHeight="true" outlineLevel="0" collapsed="false">
      <c r="A9" s="17" t="n">
        <v>5</v>
      </c>
      <c r="B9" s="18" t="s">
        <v>290</v>
      </c>
      <c r="C9" s="17" t="s">
        <v>286</v>
      </c>
      <c r="D9" s="17" t="s">
        <v>42</v>
      </c>
      <c r="E9" s="18"/>
    </row>
    <row r="10" customFormat="false" ht="25.5" hidden="false" customHeight="true" outlineLevel="0" collapsed="false">
      <c r="A10" s="17" t="n">
        <v>6</v>
      </c>
      <c r="B10" s="18" t="s">
        <v>291</v>
      </c>
      <c r="C10" s="17" t="s">
        <v>286</v>
      </c>
      <c r="D10" s="17" t="s">
        <v>42</v>
      </c>
      <c r="E10" s="18"/>
    </row>
    <row r="11" customFormat="false" ht="25.5" hidden="false" customHeight="true" outlineLevel="0" collapsed="false">
      <c r="A11" s="17" t="n">
        <v>7</v>
      </c>
      <c r="B11" s="18" t="s">
        <v>292</v>
      </c>
      <c r="C11" s="17" t="s">
        <v>286</v>
      </c>
      <c r="D11" s="17" t="s">
        <v>42</v>
      </c>
      <c r="E11" s="18"/>
    </row>
    <row r="12" customFormat="false" ht="25.5" hidden="false" customHeight="true" outlineLevel="0" collapsed="false">
      <c r="A12" s="17" t="n">
        <v>8</v>
      </c>
      <c r="B12" s="18" t="s">
        <v>293</v>
      </c>
      <c r="C12" s="17" t="s">
        <v>294</v>
      </c>
      <c r="D12" s="17" t="s">
        <v>42</v>
      </c>
      <c r="E12" s="18"/>
    </row>
    <row r="13" customFormat="false" ht="25.5" hidden="false" customHeight="true" outlineLevel="0" collapsed="false">
      <c r="A13" s="17" t="n">
        <v>9</v>
      </c>
      <c r="B13" s="18" t="s">
        <v>295</v>
      </c>
      <c r="C13" s="17" t="s">
        <v>294</v>
      </c>
      <c r="D13" s="17" t="s">
        <v>42</v>
      </c>
      <c r="E13" s="18"/>
    </row>
    <row r="14" customFormat="false" ht="25.5" hidden="false" customHeight="true" outlineLevel="0" collapsed="false">
      <c r="A14" s="17" t="n">
        <v>10</v>
      </c>
      <c r="B14" s="18" t="s">
        <v>296</v>
      </c>
      <c r="C14" s="17" t="s">
        <v>294</v>
      </c>
      <c r="D14" s="17" t="s">
        <v>42</v>
      </c>
      <c r="E14" s="18"/>
    </row>
    <row r="15" customFormat="false" ht="25.5" hidden="false" customHeight="true" outlineLevel="0" collapsed="false">
      <c r="A15" s="17" t="n">
        <v>11</v>
      </c>
      <c r="B15" s="18" t="s">
        <v>297</v>
      </c>
      <c r="C15" s="17" t="s">
        <v>294</v>
      </c>
      <c r="D15" s="17" t="s">
        <v>42</v>
      </c>
      <c r="E15" s="18"/>
    </row>
    <row r="16" customFormat="false" ht="25.5" hidden="false" customHeight="true" outlineLevel="0" collapsed="false">
      <c r="A16" s="17" t="n">
        <v>12</v>
      </c>
      <c r="B16" s="18" t="s">
        <v>298</v>
      </c>
      <c r="C16" s="17" t="s">
        <v>294</v>
      </c>
      <c r="D16" s="17" t="s">
        <v>42</v>
      </c>
      <c r="E16" s="18"/>
    </row>
    <row r="17" customFormat="false" ht="25.5" hidden="false" customHeight="true" outlineLevel="0" collapsed="false">
      <c r="A17" s="17" t="n">
        <v>13</v>
      </c>
      <c r="B17" s="18" t="s">
        <v>299</v>
      </c>
      <c r="C17" s="17" t="s">
        <v>294</v>
      </c>
      <c r="D17" s="17" t="s">
        <v>42</v>
      </c>
      <c r="E17" s="18"/>
    </row>
    <row r="18" customFormat="false" ht="25.5" hidden="false" customHeight="true" outlineLevel="0" collapsed="false">
      <c r="A18" s="17" t="n">
        <v>14</v>
      </c>
      <c r="B18" s="18" t="s">
        <v>300</v>
      </c>
      <c r="C18" s="17" t="s">
        <v>294</v>
      </c>
      <c r="D18" s="17" t="s">
        <v>42</v>
      </c>
      <c r="E18" s="18"/>
    </row>
    <row r="19" customFormat="false" ht="25.5" hidden="false" customHeight="true" outlineLevel="0" collapsed="false">
      <c r="A19" s="17" t="n">
        <v>15</v>
      </c>
      <c r="B19" s="18" t="s">
        <v>301</v>
      </c>
      <c r="C19" s="17" t="s">
        <v>286</v>
      </c>
      <c r="D19" s="17" t="s">
        <v>42</v>
      </c>
      <c r="E19" s="18"/>
    </row>
  </sheetData>
  <mergeCells count="2">
    <mergeCell ref="A1:F1"/>
    <mergeCell ref="A2:F2"/>
  </mergeCells>
  <conditionalFormatting sqref="D5:D19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true" errorStyle="stop" operator="between" showDropDown="false" showErrorMessage="false" showInputMessage="false" sqref="D5:D19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1" t="s">
        <v>302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303</v>
      </c>
      <c r="B2" s="16"/>
      <c r="C2" s="16"/>
      <c r="D2" s="16"/>
      <c r="E2" s="16"/>
      <c r="F2" s="16"/>
    </row>
    <row r="4" customFormat="false" ht="15" hidden="false" customHeight="false" outlineLevel="0" collapsed="false">
      <c r="A4" s="5" t="s">
        <v>304</v>
      </c>
      <c r="B4" s="5" t="s">
        <v>305</v>
      </c>
      <c r="C4" s="5" t="s">
        <v>306</v>
      </c>
      <c r="D4" s="5" t="s">
        <v>307</v>
      </c>
      <c r="E4" s="5" t="s">
        <v>308</v>
      </c>
      <c r="F4" s="5" t="s">
        <v>309</v>
      </c>
    </row>
    <row r="5" customFormat="false" ht="21.75" hidden="false" customHeight="true" outlineLevel="0" collapsed="false">
      <c r="A5" s="18"/>
      <c r="B5" s="18"/>
      <c r="C5" s="18"/>
      <c r="D5" s="18"/>
      <c r="E5" s="18"/>
      <c r="F5" s="18"/>
    </row>
    <row r="6" customFormat="false" ht="21.75" hidden="false" customHeight="true" outlineLevel="0" collapsed="false">
      <c r="A6" s="18"/>
      <c r="B6" s="18"/>
      <c r="C6" s="18"/>
      <c r="D6" s="18"/>
      <c r="E6" s="18"/>
      <c r="F6" s="18"/>
    </row>
    <row r="7" customFormat="false" ht="21.75" hidden="false" customHeight="true" outlineLevel="0" collapsed="false">
      <c r="A7" s="18"/>
      <c r="B7" s="18"/>
      <c r="C7" s="18"/>
      <c r="D7" s="18"/>
      <c r="E7" s="18"/>
      <c r="F7" s="18"/>
    </row>
    <row r="8" customFormat="false" ht="21.75" hidden="false" customHeight="true" outlineLevel="0" collapsed="false">
      <c r="A8" s="18"/>
      <c r="B8" s="18"/>
      <c r="C8" s="18"/>
      <c r="D8" s="18"/>
      <c r="E8" s="18"/>
      <c r="F8" s="18"/>
    </row>
    <row r="9" customFormat="false" ht="21.75" hidden="false" customHeight="true" outlineLevel="0" collapsed="false">
      <c r="A9" s="18"/>
      <c r="B9" s="18"/>
      <c r="C9" s="18"/>
      <c r="D9" s="18"/>
      <c r="E9" s="18"/>
      <c r="F9" s="18"/>
    </row>
    <row r="10" customFormat="false" ht="21.75" hidden="false" customHeight="true" outlineLevel="0" collapsed="false">
      <c r="A10" s="18"/>
      <c r="B10" s="18"/>
      <c r="C10" s="18"/>
      <c r="D10" s="18"/>
      <c r="E10" s="18"/>
      <c r="F10" s="18"/>
    </row>
    <row r="11" customFormat="false" ht="21.75" hidden="false" customHeight="true" outlineLevel="0" collapsed="false">
      <c r="A11" s="18"/>
      <c r="B11" s="18"/>
      <c r="C11" s="18"/>
      <c r="D11" s="18"/>
      <c r="E11" s="18"/>
      <c r="F11" s="18"/>
    </row>
    <row r="12" customFormat="false" ht="21.75" hidden="false" customHeight="true" outlineLevel="0" collapsed="false">
      <c r="A12" s="18"/>
      <c r="B12" s="18"/>
      <c r="C12" s="18"/>
      <c r="D12" s="18"/>
      <c r="E12" s="18"/>
      <c r="F12" s="18"/>
    </row>
    <row r="13" customFormat="false" ht="21.75" hidden="false" customHeight="true" outlineLevel="0" collapsed="false">
      <c r="A13" s="18"/>
      <c r="B13" s="18"/>
      <c r="C13" s="18"/>
      <c r="D13" s="18"/>
      <c r="E13" s="18"/>
      <c r="F13" s="18"/>
    </row>
    <row r="14" customFormat="false" ht="21.75" hidden="false" customHeight="true" outlineLevel="0" collapsed="false">
      <c r="A14" s="18"/>
      <c r="B14" s="18"/>
      <c r="C14" s="18"/>
      <c r="D14" s="18"/>
      <c r="E14" s="18"/>
      <c r="F14" s="18"/>
    </row>
    <row r="15" customFormat="false" ht="21.75" hidden="false" customHeight="true" outlineLevel="0" collapsed="false">
      <c r="A15" s="18"/>
      <c r="B15" s="18"/>
      <c r="C15" s="18"/>
      <c r="D15" s="18"/>
      <c r="E15" s="18"/>
      <c r="F15" s="18"/>
    </row>
    <row r="16" customFormat="false" ht="21.75" hidden="false" customHeight="true" outlineLevel="0" collapsed="false">
      <c r="A16" s="18"/>
      <c r="B16" s="18"/>
      <c r="C16" s="18"/>
      <c r="D16" s="18"/>
      <c r="E16" s="18"/>
      <c r="F16" s="18"/>
    </row>
    <row r="17" customFormat="false" ht="21.75" hidden="false" customHeight="true" outlineLevel="0" collapsed="false">
      <c r="A17" s="18"/>
      <c r="B17" s="18"/>
      <c r="C17" s="18"/>
      <c r="D17" s="18"/>
      <c r="E17" s="18"/>
      <c r="F17" s="18"/>
    </row>
    <row r="18" customFormat="false" ht="21.75" hidden="false" customHeight="true" outlineLevel="0" collapsed="false">
      <c r="A18" s="18"/>
      <c r="B18" s="18"/>
      <c r="C18" s="18"/>
      <c r="D18" s="18"/>
      <c r="E18" s="18"/>
      <c r="F18" s="18"/>
    </row>
    <row r="19" customFormat="false" ht="21.75" hidden="false" customHeight="true" outlineLevel="0" collapsed="false">
      <c r="A19" s="18"/>
      <c r="B19" s="18"/>
      <c r="C19" s="18"/>
      <c r="D19" s="18"/>
      <c r="E19" s="18"/>
      <c r="F19" s="18"/>
    </row>
    <row r="20" customFormat="false" ht="21.75" hidden="false" customHeight="true" outlineLevel="0" collapsed="false">
      <c r="A20" s="18"/>
      <c r="B20" s="18"/>
      <c r="C20" s="18"/>
      <c r="D20" s="18"/>
      <c r="E20" s="18"/>
      <c r="F20" s="18"/>
    </row>
    <row r="21" customFormat="false" ht="21.75" hidden="false" customHeight="true" outlineLevel="0" collapsed="false">
      <c r="A21" s="18"/>
      <c r="B21" s="18"/>
      <c r="C21" s="18"/>
      <c r="D21" s="18"/>
      <c r="E21" s="18"/>
      <c r="F21" s="18"/>
    </row>
    <row r="22" customFormat="false" ht="21.75" hidden="false" customHeight="true" outlineLevel="0" collapsed="false">
      <c r="A22" s="18"/>
      <c r="B22" s="18"/>
      <c r="C22" s="18"/>
      <c r="D22" s="18"/>
      <c r="E22" s="18"/>
      <c r="F22" s="18"/>
    </row>
    <row r="23" customFormat="false" ht="21.75" hidden="false" customHeight="true" outlineLevel="0" collapsed="false">
      <c r="A23" s="18"/>
      <c r="B23" s="18"/>
      <c r="C23" s="18"/>
      <c r="D23" s="18"/>
      <c r="E23" s="18"/>
      <c r="F23" s="18"/>
    </row>
    <row r="24" customFormat="false" ht="21.75" hidden="false" customHeight="true" outlineLevel="0" collapsed="false">
      <c r="A24" s="18"/>
      <c r="B24" s="18"/>
      <c r="C24" s="18"/>
      <c r="D24" s="18"/>
      <c r="E24" s="18"/>
      <c r="F24" s="18"/>
    </row>
    <row r="25" customFormat="false" ht="21.75" hidden="false" customHeight="true" outlineLevel="0" collapsed="false">
      <c r="A25" s="18"/>
      <c r="B25" s="18"/>
      <c r="C25" s="18"/>
      <c r="D25" s="18"/>
      <c r="E25" s="18"/>
      <c r="F25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2026-06-27T14:34:36Z</dcterms:created>
  <dc:creator>openpyxl</dc:creator>
  <dc:description/>
  <dc:language>en-US</dc:language>
  <cp:lastModifiedBy/>
  <dcterms:modified xsi:type="dcterms:W3CDTF">2026-06-27T14:34:36Z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